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ThisWorkbook"/>
  <xr:revisionPtr revIDLastSave="0" documentId="13_ncr:1_{C26C79A8-5170-49E1-A211-EE7797AE15D8}" xr6:coauthVersionLast="45" xr6:coauthVersionMax="45" xr10:uidLastSave="{00000000-0000-0000-0000-000000000000}"/>
  <bookViews>
    <workbookView xWindow="-108" yWindow="-108" windowWidth="23256" windowHeight="12768" xr2:uid="{00000000-000D-0000-FFFF-FFFF00000000}"/>
  </bookViews>
  <sheets>
    <sheet name="Main Menu" sheetId="9" r:id="rId1"/>
    <sheet name="Data Sheet" sheetId="5" r:id="rId2"/>
    <sheet name="Compute Sheet" sheetId="1" r:id="rId3"/>
    <sheet name="Print Sheet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3" i="7" l="1"/>
  <c r="D52" i="7"/>
  <c r="C52" i="7"/>
  <c r="C74" i="1"/>
  <c r="C73" i="1"/>
  <c r="B73" i="1"/>
  <c r="C45" i="5" l="1"/>
  <c r="C44" i="5"/>
  <c r="B44" i="5"/>
  <c r="H40" i="5"/>
  <c r="H41" i="5" s="1"/>
  <c r="H42" i="5" s="1"/>
  <c r="H43" i="5" s="1"/>
  <c r="H44" i="5" s="1"/>
  <c r="J39" i="5" s="1"/>
  <c r="J40" i="5" s="1"/>
  <c r="J41" i="5" s="1"/>
  <c r="J42" i="5" s="1"/>
  <c r="J43" i="5" s="1"/>
  <c r="J44" i="5" s="1"/>
  <c r="J45" i="5" s="1"/>
  <c r="A53" i="5" l="1"/>
  <c r="L62" i="1" l="1"/>
  <c r="K35" i="1" l="1"/>
  <c r="L35" i="1"/>
  <c r="M35" i="1"/>
  <c r="N35" i="1"/>
  <c r="K36" i="1"/>
  <c r="L36" i="1"/>
  <c r="M36" i="1"/>
  <c r="N36" i="1"/>
  <c r="K37" i="1"/>
  <c r="L37" i="1"/>
  <c r="M37" i="1"/>
  <c r="N37" i="1"/>
  <c r="K38" i="1"/>
  <c r="L38" i="1"/>
  <c r="M38" i="1"/>
  <c r="N38" i="1"/>
  <c r="K39" i="1"/>
  <c r="L39" i="1"/>
  <c r="M39" i="1"/>
  <c r="N39" i="1"/>
  <c r="K40" i="1"/>
  <c r="L40" i="1"/>
  <c r="M40" i="1"/>
  <c r="N40" i="1"/>
  <c r="K41" i="1"/>
  <c r="L41" i="1"/>
  <c r="M41" i="1"/>
  <c r="N41" i="1"/>
  <c r="K42" i="1"/>
  <c r="L42" i="1"/>
  <c r="M42" i="1"/>
  <c r="N42" i="1"/>
  <c r="K43" i="1"/>
  <c r="L43" i="1"/>
  <c r="M43" i="1"/>
  <c r="N43" i="1"/>
  <c r="K44" i="1"/>
  <c r="L44" i="1"/>
  <c r="M44" i="1"/>
  <c r="N44" i="1"/>
  <c r="K45" i="1"/>
  <c r="L45" i="1"/>
  <c r="M45" i="1"/>
  <c r="N45" i="1"/>
  <c r="K46" i="1"/>
  <c r="L46" i="1"/>
  <c r="M46" i="1"/>
  <c r="N46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4" i="1"/>
  <c r="L54" i="1"/>
  <c r="M54" i="1"/>
  <c r="N54" i="1"/>
  <c r="K55" i="1"/>
  <c r="L55" i="1"/>
  <c r="M55" i="1"/>
  <c r="N55" i="1"/>
  <c r="K56" i="1"/>
  <c r="L56" i="1"/>
  <c r="M56" i="1"/>
  <c r="N56" i="1"/>
  <c r="K57" i="1"/>
  <c r="L57" i="1"/>
  <c r="M57" i="1"/>
  <c r="N57" i="1"/>
  <c r="K58" i="1"/>
  <c r="L58" i="1"/>
  <c r="M58" i="1"/>
  <c r="N58" i="1"/>
  <c r="K59" i="1"/>
  <c r="L59" i="1"/>
  <c r="M59" i="1"/>
  <c r="N59" i="1"/>
  <c r="K60" i="1"/>
  <c r="L60" i="1"/>
  <c r="M60" i="1"/>
  <c r="N60" i="1"/>
  <c r="K61" i="1"/>
  <c r="L61" i="1"/>
  <c r="M61" i="1"/>
  <c r="N61" i="1"/>
  <c r="K62" i="1"/>
  <c r="M62" i="1"/>
  <c r="N62" i="1"/>
  <c r="K63" i="1"/>
  <c r="L63" i="1"/>
  <c r="M63" i="1"/>
  <c r="N63" i="1"/>
  <c r="N34" i="1"/>
  <c r="M34" i="1"/>
  <c r="L34" i="1"/>
  <c r="K34" i="1"/>
  <c r="K5" i="1"/>
  <c r="L5" i="1"/>
  <c r="M5" i="1"/>
  <c r="N5" i="1"/>
  <c r="K6" i="1"/>
  <c r="L6" i="1"/>
  <c r="M6" i="1"/>
  <c r="N6" i="1"/>
  <c r="K7" i="1"/>
  <c r="L7" i="1"/>
  <c r="M7" i="1"/>
  <c r="N7" i="1"/>
  <c r="K8" i="1"/>
  <c r="L8" i="1"/>
  <c r="M8" i="1"/>
  <c r="N8" i="1"/>
  <c r="K9" i="1"/>
  <c r="L9" i="1"/>
  <c r="M9" i="1"/>
  <c r="N9" i="1"/>
  <c r="K10" i="1"/>
  <c r="L10" i="1"/>
  <c r="M10" i="1"/>
  <c r="N10" i="1"/>
  <c r="K11" i="1"/>
  <c r="L11" i="1"/>
  <c r="M11" i="1"/>
  <c r="N11" i="1"/>
  <c r="K12" i="1"/>
  <c r="L12" i="1"/>
  <c r="M12" i="1"/>
  <c r="N12" i="1"/>
  <c r="K13" i="1"/>
  <c r="L13" i="1"/>
  <c r="M13" i="1"/>
  <c r="N13" i="1"/>
  <c r="K14" i="1"/>
  <c r="L14" i="1"/>
  <c r="M14" i="1"/>
  <c r="N14" i="1"/>
  <c r="K15" i="1"/>
  <c r="L15" i="1"/>
  <c r="M15" i="1"/>
  <c r="N15" i="1"/>
  <c r="K16" i="1"/>
  <c r="L16" i="1"/>
  <c r="M16" i="1"/>
  <c r="N16" i="1"/>
  <c r="K17" i="1"/>
  <c r="L17" i="1"/>
  <c r="M17" i="1"/>
  <c r="N17" i="1"/>
  <c r="K18" i="1"/>
  <c r="L18" i="1"/>
  <c r="M18" i="1"/>
  <c r="N18" i="1"/>
  <c r="K19" i="1"/>
  <c r="L19" i="1"/>
  <c r="M19" i="1"/>
  <c r="N19" i="1"/>
  <c r="K20" i="1"/>
  <c r="L20" i="1"/>
  <c r="M20" i="1"/>
  <c r="N20" i="1"/>
  <c r="K21" i="1"/>
  <c r="L21" i="1"/>
  <c r="M21" i="1"/>
  <c r="N21" i="1"/>
  <c r="K22" i="1"/>
  <c r="L22" i="1"/>
  <c r="M22" i="1"/>
  <c r="N22" i="1"/>
  <c r="K23" i="1"/>
  <c r="L23" i="1"/>
  <c r="M23" i="1"/>
  <c r="N23" i="1"/>
  <c r="K24" i="1"/>
  <c r="L24" i="1"/>
  <c r="M24" i="1"/>
  <c r="N24" i="1"/>
  <c r="K25" i="1"/>
  <c r="L25" i="1"/>
  <c r="M25" i="1"/>
  <c r="N25" i="1"/>
  <c r="K26" i="1"/>
  <c r="L26" i="1"/>
  <c r="M26" i="1"/>
  <c r="N26" i="1"/>
  <c r="K27" i="1"/>
  <c r="L27" i="1"/>
  <c r="M27" i="1"/>
  <c r="N27" i="1"/>
  <c r="K28" i="1"/>
  <c r="L28" i="1"/>
  <c r="M28" i="1"/>
  <c r="N28" i="1"/>
  <c r="K29" i="1"/>
  <c r="L29" i="1"/>
  <c r="M29" i="1"/>
  <c r="N29" i="1"/>
  <c r="K30" i="1"/>
  <c r="L30" i="1"/>
  <c r="M30" i="1"/>
  <c r="N30" i="1"/>
  <c r="K31" i="1"/>
  <c r="L31" i="1"/>
  <c r="M31" i="1"/>
  <c r="N31" i="1"/>
  <c r="K32" i="1"/>
  <c r="L32" i="1"/>
  <c r="M32" i="1"/>
  <c r="N32" i="1"/>
  <c r="K33" i="1"/>
  <c r="L33" i="1"/>
  <c r="M33" i="1"/>
  <c r="N33" i="1"/>
  <c r="N4" i="1"/>
  <c r="M4" i="1"/>
  <c r="L4" i="1"/>
  <c r="K4" i="1"/>
  <c r="G49" i="1" l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A48" i="1" l="1"/>
  <c r="E30" i="1" l="1"/>
  <c r="F37" i="1"/>
  <c r="F38" i="1"/>
  <c r="F39" i="1"/>
  <c r="F40" i="1"/>
  <c r="F41" i="1"/>
  <c r="F42" i="1"/>
  <c r="F36" i="1"/>
  <c r="F31" i="1"/>
  <c r="F32" i="1"/>
  <c r="F33" i="1"/>
  <c r="F34" i="1"/>
  <c r="F35" i="1"/>
  <c r="F30" i="1"/>
  <c r="E31" i="1" l="1"/>
  <c r="A49" i="1"/>
  <c r="O2" i="1"/>
  <c r="P2" i="1" s="1"/>
  <c r="Q2" i="1" s="1"/>
  <c r="R2" i="1" s="1"/>
  <c r="S2" i="1" s="1"/>
  <c r="T2" i="1" s="1"/>
  <c r="U2" i="1" s="1"/>
  <c r="J24" i="1"/>
  <c r="E32" i="1" l="1"/>
  <c r="A50" i="1"/>
  <c r="E33" i="1" l="1"/>
  <c r="A51" i="1"/>
  <c r="E34" i="1" l="1"/>
  <c r="A52" i="1"/>
  <c r="E35" i="1" l="1"/>
  <c r="A53" i="1"/>
  <c r="J25" i="1"/>
  <c r="E36" i="1" l="1"/>
  <c r="A54" i="1"/>
  <c r="E37" i="1" l="1"/>
  <c r="A55" i="1"/>
  <c r="E38" i="1" l="1"/>
  <c r="A56" i="1"/>
  <c r="E39" i="1" l="1"/>
  <c r="A57" i="1"/>
  <c r="E40" i="1" l="1"/>
  <c r="A58" i="1"/>
  <c r="E41" i="1" l="1"/>
  <c r="A59" i="1"/>
  <c r="E42" i="1" l="1"/>
  <c r="A60" i="1"/>
  <c r="E43" i="1" l="1"/>
  <c r="A62" i="1" s="1"/>
  <c r="A61" i="1"/>
</calcChain>
</file>

<file path=xl/sharedStrings.xml><?xml version="1.0" encoding="utf-8"?>
<sst xmlns="http://schemas.openxmlformats.org/spreadsheetml/2006/main" count="129" uniqueCount="89">
  <si>
    <t>d=</t>
  </si>
  <si>
    <t>c=</t>
  </si>
  <si>
    <t>X</t>
  </si>
  <si>
    <t>Y</t>
  </si>
  <si>
    <t>P</t>
  </si>
  <si>
    <t>M</t>
  </si>
  <si>
    <t>a=</t>
  </si>
  <si>
    <t>Poc</t>
  </si>
  <si>
    <t>Modulo</t>
  </si>
  <si>
    <t>Mr</t>
  </si>
  <si>
    <t>Pr</t>
  </si>
  <si>
    <t>Mu/Mr</t>
  </si>
  <si>
    <t>Pu/Pr</t>
  </si>
  <si>
    <t>X(m)</t>
  </si>
  <si>
    <t>Y(m)</t>
  </si>
  <si>
    <t>Box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</si>
  <si>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 xml:space="preserve"> (cm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</si>
  <si>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 xml:space="preserve">c </t>
    </r>
    <r>
      <rPr>
        <b/>
        <i/>
        <sz val="11"/>
        <color theme="1"/>
        <rFont val="Calibri"/>
        <family val="2"/>
        <scheme val="minor"/>
      </rPr>
      <t>=</t>
    </r>
  </si>
  <si>
    <r>
      <t>A</t>
    </r>
    <r>
      <rPr>
        <b/>
        <i/>
        <vertAlign val="subscript"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 xml:space="preserve"> 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</si>
  <si>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 xml:space="preserve">s1 </t>
    </r>
  </si>
  <si>
    <t>x</t>
  </si>
  <si>
    <t>y</t>
  </si>
  <si>
    <t>Pot</t>
  </si>
  <si>
    <t>0.8 Pr</t>
  </si>
  <si>
    <t>#</t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</si>
  <si>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s</t>
    </r>
  </si>
  <si>
    <t>Wall Indentifier</t>
  </si>
  <si>
    <t xml:space="preserve">Characteristics </t>
  </si>
  <si>
    <t xml:space="preserve">    D    A    T    A               S   H   E   E   T</t>
  </si>
  <si>
    <t>Mechanical properties (MPa)</t>
  </si>
  <si>
    <t>Factored Bending Moment and Load (KN m)</t>
  </si>
  <si>
    <t>Yield stress of steel, fy:</t>
  </si>
  <si>
    <t>Steel Strain</t>
  </si>
  <si>
    <t>Parameters</t>
  </si>
  <si>
    <t>Nominal Interaction Curve</t>
  </si>
  <si>
    <t>D   i    a    g    r    a    m</t>
  </si>
  <si>
    <t>Centroid (m)</t>
  </si>
  <si>
    <t>N o m i n a l    L o a d    a n d    B e n d i n g    M o m e n t (Mpa, KN, m)</t>
  </si>
  <si>
    <r>
      <t>P</t>
    </r>
    <r>
      <rPr>
        <b/>
        <i/>
        <vertAlign val="subscript"/>
        <sz val="11"/>
        <color theme="1"/>
        <rFont val="Calibri"/>
        <family val="2"/>
        <scheme val="minor"/>
      </rPr>
      <t>u</t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</si>
  <si>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u</t>
    </r>
  </si>
  <si>
    <t>Comb</t>
  </si>
  <si>
    <t>Pr'</t>
  </si>
  <si>
    <r>
      <t>X A</t>
    </r>
    <r>
      <rPr>
        <b/>
        <i/>
        <vertAlign val="subscript"/>
        <sz val="11"/>
        <color theme="1"/>
        <rFont val="Calibri"/>
        <family val="2"/>
        <scheme val="minor"/>
      </rPr>
      <t>b</t>
    </r>
  </si>
  <si>
    <r>
      <t>Y A</t>
    </r>
    <r>
      <rPr>
        <b/>
        <i/>
        <vertAlign val="subscript"/>
        <sz val="11"/>
        <color theme="1"/>
        <rFont val="Calibri"/>
        <family val="2"/>
        <scheme val="minor"/>
      </rPr>
      <t>b</t>
    </r>
  </si>
  <si>
    <t>0.8 Mr</t>
  </si>
  <si>
    <t xml:space="preserve"> Mr</t>
  </si>
  <si>
    <t xml:space="preserve"> Pr</t>
  </si>
  <si>
    <t>Angulo</t>
  </si>
  <si>
    <t>b</t>
  </si>
  <si>
    <t>j</t>
  </si>
  <si>
    <t>F. line</t>
  </si>
  <si>
    <t># points</t>
  </si>
  <si>
    <t>xmax</t>
  </si>
  <si>
    <t>ymax</t>
  </si>
  <si>
    <t xml:space="preserve"> f'c :</t>
  </si>
  <si>
    <t xml:space="preserve"> fy:</t>
  </si>
  <si>
    <t>Concrete Compressive strength , f'c :</t>
  </si>
  <si>
    <t xml:space="preserve"> ConcreteCompressive strength, f'c:</t>
  </si>
  <si>
    <t>R        E        S        U       L        T        S</t>
  </si>
  <si>
    <t>Combination 1</t>
  </si>
  <si>
    <t>Mu</t>
  </si>
  <si>
    <t>Pu</t>
  </si>
  <si>
    <t># Steel Bars:</t>
  </si>
  <si>
    <t>Combination 4</t>
  </si>
  <si>
    <t>Combination 7</t>
  </si>
  <si>
    <t>Combination 2</t>
  </si>
  <si>
    <t>Combination 5</t>
  </si>
  <si>
    <t>Combination 8</t>
  </si>
  <si>
    <t>Combination 3</t>
  </si>
  <si>
    <t>Combination 6</t>
  </si>
  <si>
    <t>Combination 9</t>
  </si>
  <si>
    <t>subject to combinated axial load and bending</t>
  </si>
  <si>
    <t xml:space="preserve">Send your feedback to :  </t>
  </si>
  <si>
    <t>Design of insulated concrete form walls</t>
  </si>
  <si>
    <t>DICONW</t>
  </si>
  <si>
    <t>Associate Professor, Autonomous University of Guerrero, State.</t>
  </si>
  <si>
    <t xml:space="preserve">Master of Engineering in Innovation and Technology Development </t>
  </si>
  <si>
    <t>sstizapa@uagro.mx</t>
  </si>
  <si>
    <t>DICONW.   V. 1.1</t>
  </si>
  <si>
    <t>Interaction curve</t>
  </si>
  <si>
    <t>NC</t>
  </si>
  <si>
    <t xml:space="preserve"> Concrete Compressive strength, f'c</t>
  </si>
  <si>
    <t>Yield stress of steel, fy</t>
  </si>
  <si>
    <t>M9</t>
  </si>
  <si>
    <r>
      <t>M</t>
    </r>
    <r>
      <rPr>
        <b/>
        <i/>
        <vertAlign val="subscript"/>
        <sz val="10"/>
        <color theme="1"/>
        <rFont val="Calibri"/>
        <family val="2"/>
        <scheme val="minor"/>
      </rPr>
      <t>u</t>
    </r>
    <r>
      <rPr>
        <b/>
        <i/>
        <sz val="10"/>
        <color theme="1"/>
        <rFont val="Calibri"/>
        <family val="2"/>
        <scheme val="minor"/>
      </rPr>
      <t xml:space="preserve"> (KN m)</t>
    </r>
  </si>
  <si>
    <r>
      <t>P</t>
    </r>
    <r>
      <rPr>
        <b/>
        <i/>
        <vertAlign val="subscript"/>
        <sz val="10"/>
        <color theme="1"/>
        <rFont val="Calibri"/>
        <family val="2"/>
        <scheme val="minor"/>
      </rPr>
      <t>u</t>
    </r>
    <r>
      <rPr>
        <b/>
        <i/>
        <sz val="10"/>
        <color theme="1"/>
        <rFont val="Calibri"/>
        <family val="2"/>
        <scheme val="minor"/>
      </rPr>
      <t xml:space="preserve"> (KN)</t>
    </r>
  </si>
  <si>
    <t>Mr (KN m)</t>
  </si>
  <si>
    <t>Pr (KN)</t>
  </si>
  <si>
    <t>© 2020, Dr. Sulpicio Sánchez Tizapa.  ISBN 978-607-29-2112-2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</si>
</sst>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"/>
    <numFmt numFmtId="168" formatCode="0.0E+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i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i/>
      <vertAlign val="subscript"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7" fillId="0" borderId="0" xfId="0" applyFont="1" applyFill="1" applyAlignment="1">
      <alignment horizontal="right"/>
    </xf>
    <xf numFmtId="0" fontId="0" fillId="0" borderId="0" xfId="0" applyFill="1"/>
    <xf numFmtId="0" fontId="7" fillId="4" borderId="1" xfId="0" applyFont="1" applyFill="1" applyBorder="1" applyAlignment="1">
      <alignment horizontal="right"/>
    </xf>
    <xf numFmtId="0" fontId="9" fillId="3" borderId="1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right"/>
    </xf>
    <xf numFmtId="2" fontId="0" fillId="0" borderId="0" xfId="0" applyNumberFormat="1" applyFill="1" applyAlignment="1">
      <alignment horizontal="left"/>
    </xf>
    <xf numFmtId="0" fontId="2" fillId="0" borderId="0" xfId="0" applyFont="1" applyFill="1"/>
    <xf numFmtId="164" fontId="0" fillId="0" borderId="0" xfId="0" applyNumberFormat="1" applyFill="1"/>
    <xf numFmtId="164" fontId="2" fillId="0" borderId="0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right"/>
    </xf>
    <xf numFmtId="2" fontId="0" fillId="5" borderId="0" xfId="0" applyNumberForma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164" fontId="10" fillId="0" borderId="0" xfId="0" applyNumberFormat="1" applyFont="1" applyFill="1" applyBorder="1" applyAlignment="1">
      <alignment horizontal="center"/>
    </xf>
    <xf numFmtId="0" fontId="4" fillId="0" borderId="0" xfId="0" applyFont="1" applyFill="1" applyBorder="1"/>
    <xf numFmtId="0" fontId="7" fillId="3" borderId="1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3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2" fontId="0" fillId="0" borderId="0" xfId="0" applyNumberFormat="1" applyFill="1" applyBorder="1"/>
    <xf numFmtId="0" fontId="0" fillId="0" borderId="1" xfId="0" applyBorder="1" applyAlignment="1">
      <alignment horizontal="center"/>
    </xf>
    <xf numFmtId="0" fontId="4" fillId="0" borderId="0" xfId="0" applyFont="1"/>
    <xf numFmtId="0" fontId="9" fillId="4" borderId="1" xfId="0" applyFon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11" fontId="2" fillId="0" borderId="0" xfId="0" applyNumberFormat="1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/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9" fillId="6" borderId="1" xfId="0" quotePrefix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0" fillId="5" borderId="1" xfId="0" applyNumberFormat="1" applyFill="1" applyBorder="1"/>
    <xf numFmtId="0" fontId="0" fillId="5" borderId="0" xfId="0" applyFill="1" applyBorder="1"/>
    <xf numFmtId="0" fontId="9" fillId="6" borderId="8" xfId="0" applyFont="1" applyFill="1" applyBorder="1" applyAlignment="1">
      <alignment horizontal="center"/>
    </xf>
    <xf numFmtId="0" fontId="9" fillId="6" borderId="1" xfId="0" applyFont="1" applyFill="1" applyBorder="1"/>
    <xf numFmtId="2" fontId="2" fillId="5" borderId="1" xfId="0" applyNumberFormat="1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2" fontId="0" fillId="0" borderId="0" xfId="0" applyNumberFormat="1"/>
    <xf numFmtId="1" fontId="0" fillId="0" borderId="0" xfId="0" applyNumberFormat="1" applyFill="1" applyBorder="1" applyAlignment="1">
      <alignment horizontal="center"/>
    </xf>
    <xf numFmtId="166" fontId="0" fillId="0" borderId="0" xfId="0" applyNumberFormat="1"/>
    <xf numFmtId="166" fontId="2" fillId="5" borderId="1" xfId="0" applyNumberFormat="1" applyFont="1" applyFill="1" applyBorder="1" applyAlignment="1">
      <alignment horizontal="center"/>
    </xf>
    <xf numFmtId="166" fontId="0" fillId="0" borderId="0" xfId="0" applyNumberFormat="1" applyFill="1" applyAlignment="1"/>
    <xf numFmtId="166" fontId="0" fillId="0" borderId="0" xfId="0" applyNumberFormat="1" applyFill="1"/>
    <xf numFmtId="1" fontId="0" fillId="0" borderId="0" xfId="0" applyNumberFormat="1"/>
    <xf numFmtId="1" fontId="0" fillId="0" borderId="0" xfId="0" applyNumberFormat="1" applyFill="1" applyBorder="1"/>
    <xf numFmtId="166" fontId="0" fillId="5" borderId="1" xfId="0" applyNumberFormat="1" applyFont="1" applyFill="1" applyBorder="1" applyAlignment="1">
      <alignment horizontal="center"/>
    </xf>
    <xf numFmtId="1" fontId="0" fillId="0" borderId="0" xfId="0" applyNumberFormat="1" applyBorder="1"/>
    <xf numFmtId="1" fontId="2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/>
    <xf numFmtId="0" fontId="0" fillId="0" borderId="0" xfId="0" applyAlignment="1">
      <alignment horizontal="center"/>
    </xf>
    <xf numFmtId="0" fontId="9" fillId="6" borderId="1" xfId="0" applyFont="1" applyFill="1" applyBorder="1" applyAlignment="1">
      <alignment horizontal="center"/>
    </xf>
    <xf numFmtId="2" fontId="0" fillId="5" borderId="1" xfId="0" applyNumberFormat="1" applyFill="1" applyBorder="1"/>
    <xf numFmtId="2" fontId="0" fillId="5" borderId="1" xfId="0" applyNumberFormat="1" applyFont="1" applyFill="1" applyBorder="1"/>
    <xf numFmtId="166" fontId="0" fillId="5" borderId="1" xfId="0" applyNumberFormat="1" applyFont="1" applyFill="1" applyBorder="1"/>
    <xf numFmtId="0" fontId="0" fillId="5" borderId="1" xfId="0" applyFont="1" applyFill="1" applyBorder="1"/>
    <xf numFmtId="0" fontId="4" fillId="0" borderId="0" xfId="0" applyFont="1" applyBorder="1" applyAlignment="1"/>
    <xf numFmtId="0" fontId="11" fillId="0" borderId="0" xfId="0" applyFont="1"/>
    <xf numFmtId="0" fontId="4" fillId="4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0" fontId="18" fillId="0" borderId="0" xfId="0" applyFont="1"/>
    <xf numFmtId="0" fontId="19" fillId="0" borderId="0" xfId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1" applyAlignment="1">
      <alignment horizontal="center"/>
    </xf>
    <xf numFmtId="0" fontId="4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quotePrefix="1" applyFill="1" applyBorder="1" applyAlignment="1">
      <alignment horizontal="center"/>
    </xf>
    <xf numFmtId="0" fontId="0" fillId="0" borderId="0" xfId="0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1" fontId="2" fillId="5" borderId="1" xfId="0" applyNumberFormat="1" applyFon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quotePrefix="1" applyFill="1" applyBorder="1" applyAlignment="1">
      <alignment horizontal="center"/>
    </xf>
    <xf numFmtId="1" fontId="2" fillId="5" borderId="3" xfId="0" applyNumberFormat="1" applyFont="1" applyFill="1" applyBorder="1" applyAlignment="1">
      <alignment horizontal="center"/>
    </xf>
    <xf numFmtId="166" fontId="0" fillId="0" borderId="0" xfId="0" applyNumberFormat="1" applyFill="1" applyBorder="1"/>
    <xf numFmtId="165" fontId="0" fillId="0" borderId="0" xfId="0" applyNumberFormat="1" applyFill="1" applyBorder="1"/>
    <xf numFmtId="2" fontId="0" fillId="0" borderId="0" xfId="0" applyNumberFormat="1" applyFont="1" applyFill="1" applyBorder="1" applyAlignment="1">
      <alignment horizontal="center"/>
    </xf>
    <xf numFmtId="167" fontId="0" fillId="0" borderId="0" xfId="0" applyNumberFormat="1" applyFill="1" applyBorder="1"/>
    <xf numFmtId="2" fontId="0" fillId="5" borderId="1" xfId="0" applyNumberFormat="1" applyFont="1" applyFill="1" applyBorder="1" applyAlignment="1"/>
    <xf numFmtId="166" fontId="0" fillId="0" borderId="0" xfId="0" applyNumberFormat="1" applyAlignment="1">
      <alignment horizontal="center"/>
    </xf>
    <xf numFmtId="2" fontId="0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2" borderId="1" xfId="0" quotePrefix="1" applyNumberForma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24" fillId="2" borderId="1" xfId="0" quotePrefix="1" applyFont="1" applyFill="1" applyBorder="1" applyAlignment="1">
      <alignment horizontal="center"/>
    </xf>
    <xf numFmtId="166" fontId="24" fillId="2" borderId="1" xfId="0" quotePrefix="1" applyNumberFormat="1" applyFont="1" applyFill="1" applyBorder="1" applyAlignment="1">
      <alignment horizontal="center"/>
    </xf>
    <xf numFmtId="168" fontId="24" fillId="2" borderId="1" xfId="0" applyNumberFormat="1" applyFont="1" applyFill="1" applyBorder="1" applyAlignment="1">
      <alignment horizontal="center"/>
    </xf>
    <xf numFmtId="168" fontId="24" fillId="2" borderId="1" xfId="0" quotePrefix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0" fontId="25" fillId="7" borderId="0" xfId="0" applyFont="1" applyFill="1" applyBorder="1"/>
    <xf numFmtId="0" fontId="25" fillId="7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7" xfId="0" applyFont="1" applyBorder="1" applyAlignment="1"/>
    <xf numFmtId="0" fontId="0" fillId="0" borderId="7" xfId="0" applyBorder="1" applyAlignment="1"/>
    <xf numFmtId="0" fontId="4" fillId="0" borderId="0" xfId="0" applyFont="1" applyBorder="1" applyAlignment="1"/>
    <xf numFmtId="0" fontId="0" fillId="0" borderId="0" xfId="0" applyBorder="1" applyAlignment="1"/>
    <xf numFmtId="0" fontId="4" fillId="4" borderId="3" xfId="0" applyFont="1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0" fontId="4" fillId="3" borderId="1" xfId="0" applyFont="1" applyFill="1" applyBorder="1" applyAlignment="1"/>
    <xf numFmtId="0" fontId="0" fillId="0" borderId="1" xfId="0" applyBorder="1" applyAlignment="1"/>
    <xf numFmtId="0" fontId="0" fillId="0" borderId="3" xfId="0" applyBorder="1" applyAlignment="1"/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4" fillId="4" borderId="1" xfId="0" applyFont="1" applyFill="1" applyBorder="1" applyAlignment="1"/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2" fontId="0" fillId="6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3" xfId="0" applyFont="1" applyFill="1" applyBorder="1" applyAlignment="1"/>
    <xf numFmtId="0" fontId="0" fillId="0" borderId="5" xfId="0" applyBorder="1" applyAlignment="1"/>
    <xf numFmtId="0" fontId="4" fillId="4" borderId="0" xfId="0" applyFont="1" applyFill="1" applyBorder="1" applyAlignment="1"/>
    <xf numFmtId="0" fontId="0" fillId="0" borderId="0" xfId="0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/>
            </a:pPr>
            <a:r>
              <a:rPr lang="es-MX"/>
              <a:t>Position of steel bars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2"/>
            <c:spPr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'Compute Sheet'!$L$4:$L$63</c:f>
              <c:numCache>
                <c:formatCode>General</c:formatCode>
                <c:ptCount val="60"/>
                <c:pt idx="0">
                  <c:v>0.1</c:v>
                </c:pt>
                <c:pt idx="1">
                  <c:v>0.7</c:v>
                </c:pt>
                <c:pt idx="2">
                  <c:v>1.3</c:v>
                </c:pt>
                <c:pt idx="3">
                  <c:v>1.9</c:v>
                </c:pt>
                <c:pt idx="4">
                  <c:v>2.1</c:v>
                </c:pt>
                <c:pt idx="5">
                  <c:v>2.1</c:v>
                </c:pt>
                <c:pt idx="6">
                  <c:v>2.1</c:v>
                </c:pt>
                <c:pt idx="7">
                  <c:v>2.1</c:v>
                </c:pt>
                <c:pt idx="8">
                  <c:v>2.1</c:v>
                </c:pt>
                <c:pt idx="9">
                  <c:v>2.1</c:v>
                </c:pt>
                <c:pt idx="10">
                  <c:v>2.1</c:v>
                </c:pt>
                <c:pt idx="11">
                  <c:v>2.1</c:v>
                </c:pt>
                <c:pt idx="12">
                  <c:v>2.1</c:v>
                </c:pt>
                <c:pt idx="13">
                  <c:v>2.1</c:v>
                </c:pt>
                <c:pt idx="14">
                  <c:v>1.9</c:v>
                </c:pt>
                <c:pt idx="15">
                  <c:v>2.1</c:v>
                </c:pt>
                <c:pt idx="16">
                  <c:v>2.1</c:v>
                </c:pt>
                <c:pt idx="17">
                  <c:v>2.1</c:v>
                </c:pt>
                <c:pt idx="18">
                  <c:v>2.1</c:v>
                </c:pt>
                <c:pt idx="19">
                  <c:v>2.1</c:v>
                </c:pt>
                <c:pt idx="20">
                  <c:v>2.1</c:v>
                </c:pt>
                <c:pt idx="21">
                  <c:v>2.1</c:v>
                </c:pt>
                <c:pt idx="22">
                  <c:v>2.2999999999999998</c:v>
                </c:pt>
                <c:pt idx="23">
                  <c:v>2.7</c:v>
                </c:pt>
                <c:pt idx="24">
                  <c:v>3.5</c:v>
                </c:pt>
                <c:pt idx="25">
                  <c:v>4.0999999999999996</c:v>
                </c:pt>
                <c:pt idx="26">
                  <c:v>4.7</c:v>
                </c:pt>
                <c:pt idx="27">
                  <c:v>5.3</c:v>
                </c:pt>
                <c:pt idx="28">
                  <c:v>5.9</c:v>
                </c:pt>
                <c:pt idx="29">
                  <c:v>6.5</c:v>
                </c:pt>
                <c:pt idx="30">
                  <c:v>6.7</c:v>
                </c:pt>
                <c:pt idx="31">
                  <c:v>6.9</c:v>
                </c:pt>
                <c:pt idx="32">
                  <c:v>7.5</c:v>
                </c:pt>
                <c:pt idx="33">
                  <c:v>8.1</c:v>
                </c:pt>
                <c:pt idx="34">
                  <c:v>8.5</c:v>
                </c:pt>
                <c:pt idx="35">
                  <c:v>8.6999999999999993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6.9</c:v>
                </c:pt>
                <c:pt idx="42">
                  <c:v>7.3</c:v>
                </c:pt>
                <c:pt idx="43">
                  <c:v>7.9</c:v>
                </c:pt>
                <c:pt idx="44">
                  <c:v>8.5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6.5</c:v>
                </c:pt>
                <c:pt idx="54">
                  <c:v>5.9</c:v>
                </c:pt>
                <c:pt idx="55">
                  <c:v>5.3</c:v>
                </c:pt>
                <c:pt idx="56">
                  <c:v>4.7</c:v>
                </c:pt>
                <c:pt idx="57">
                  <c:v>4.0999999999999996</c:v>
                </c:pt>
                <c:pt idx="58">
                  <c:v>3.5</c:v>
                </c:pt>
                <c:pt idx="59">
                  <c:v>0</c:v>
                </c:pt>
              </c:numCache>
            </c:numRef>
          </c:xVal>
          <c:yVal>
            <c:numRef>
              <c:f>'Compute Sheet'!$M$4:$M$63</c:f>
              <c:numCache>
                <c:formatCode>General</c:formatCode>
                <c:ptCount val="6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0.3</c:v>
                </c:pt>
                <c:pt idx="6">
                  <c:v>0.9</c:v>
                </c:pt>
                <c:pt idx="7">
                  <c:v>1.5</c:v>
                </c:pt>
                <c:pt idx="8">
                  <c:v>2.1</c:v>
                </c:pt>
                <c:pt idx="9">
                  <c:v>2.7</c:v>
                </c:pt>
                <c:pt idx="10">
                  <c:v>3.3</c:v>
                </c:pt>
                <c:pt idx="11">
                  <c:v>3.9</c:v>
                </c:pt>
                <c:pt idx="12">
                  <c:v>4.5</c:v>
                </c:pt>
                <c:pt idx="13">
                  <c:v>4.7</c:v>
                </c:pt>
                <c:pt idx="14">
                  <c:v>4.7</c:v>
                </c:pt>
                <c:pt idx="15">
                  <c:v>4.9000000000000004</c:v>
                </c:pt>
                <c:pt idx="16">
                  <c:v>4.5</c:v>
                </c:pt>
                <c:pt idx="17">
                  <c:v>6.1</c:v>
                </c:pt>
                <c:pt idx="18">
                  <c:v>6.7</c:v>
                </c:pt>
                <c:pt idx="19">
                  <c:v>7.3</c:v>
                </c:pt>
                <c:pt idx="20">
                  <c:v>7.5</c:v>
                </c:pt>
                <c:pt idx="21">
                  <c:v>7.7</c:v>
                </c:pt>
                <c:pt idx="22">
                  <c:v>7.7</c:v>
                </c:pt>
                <c:pt idx="23">
                  <c:v>7.7</c:v>
                </c:pt>
                <c:pt idx="24">
                  <c:v>7.7</c:v>
                </c:pt>
                <c:pt idx="25">
                  <c:v>7.7</c:v>
                </c:pt>
                <c:pt idx="26">
                  <c:v>7.7</c:v>
                </c:pt>
                <c:pt idx="27">
                  <c:v>7.7</c:v>
                </c:pt>
                <c:pt idx="28">
                  <c:v>7.7</c:v>
                </c:pt>
                <c:pt idx="29">
                  <c:v>7.7</c:v>
                </c:pt>
                <c:pt idx="30">
                  <c:v>7.7</c:v>
                </c:pt>
                <c:pt idx="31">
                  <c:v>7.7</c:v>
                </c:pt>
                <c:pt idx="32">
                  <c:v>7.7</c:v>
                </c:pt>
                <c:pt idx="33">
                  <c:v>7.7</c:v>
                </c:pt>
                <c:pt idx="34">
                  <c:v>7.7</c:v>
                </c:pt>
                <c:pt idx="35">
                  <c:v>7.7</c:v>
                </c:pt>
                <c:pt idx="36">
                  <c:v>7.5</c:v>
                </c:pt>
                <c:pt idx="37">
                  <c:v>7.1</c:v>
                </c:pt>
                <c:pt idx="38">
                  <c:v>6.5</c:v>
                </c:pt>
                <c:pt idx="39">
                  <c:v>5.9</c:v>
                </c:pt>
                <c:pt idx="40">
                  <c:v>5.7</c:v>
                </c:pt>
                <c:pt idx="41">
                  <c:v>5.7</c:v>
                </c:pt>
                <c:pt idx="42">
                  <c:v>5.7</c:v>
                </c:pt>
                <c:pt idx="43">
                  <c:v>5.7</c:v>
                </c:pt>
                <c:pt idx="44">
                  <c:v>5.7</c:v>
                </c:pt>
                <c:pt idx="45">
                  <c:v>5.7</c:v>
                </c:pt>
                <c:pt idx="46">
                  <c:v>5.5</c:v>
                </c:pt>
                <c:pt idx="47">
                  <c:v>5.3</c:v>
                </c:pt>
                <c:pt idx="48">
                  <c:v>5.5</c:v>
                </c:pt>
                <c:pt idx="49">
                  <c:v>5.0999999999999996</c:v>
                </c:pt>
                <c:pt idx="50">
                  <c:v>4.5</c:v>
                </c:pt>
                <c:pt idx="51">
                  <c:v>3.9</c:v>
                </c:pt>
                <c:pt idx="52">
                  <c:v>3.7</c:v>
                </c:pt>
                <c:pt idx="53">
                  <c:v>3.7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9-4606-A4E2-C0EA5E6FC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02184"/>
        <c:axId val="382701200"/>
      </c:scatterChart>
      <c:valAx>
        <c:axId val="38270218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X, 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701200"/>
        <c:crosses val="autoZero"/>
        <c:crossBetween val="midCat"/>
      </c:valAx>
      <c:valAx>
        <c:axId val="38270120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Y, 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7021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Interaction curve and Mu-Pu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'Compute Sheet'!$H$46</c:f>
              <c:strCache>
                <c:ptCount val="1"/>
                <c:pt idx="0">
                  <c:v>Interaction curve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'Compute Sheet'!$H$48:$H$63</c:f>
              <c:numCache>
                <c:formatCode>0.0</c:formatCode>
                <c:ptCount val="16"/>
                <c:pt idx="0">
                  <c:v>0</c:v>
                </c:pt>
                <c:pt idx="1">
                  <c:v>5644.3222269015687</c:v>
                </c:pt>
                <c:pt idx="2">
                  <c:v>5696.7974202088217</c:v>
                </c:pt>
                <c:pt idx="3">
                  <c:v>6088.5202449363578</c:v>
                </c:pt>
                <c:pt idx="4">
                  <c:v>7489.6147804284528</c:v>
                </c:pt>
                <c:pt idx="5">
                  <c:v>8729.559559678084</c:v>
                </c:pt>
                <c:pt idx="6">
                  <c:v>9542.818508139997</c:v>
                </c:pt>
                <c:pt idx="7">
                  <c:v>11280.823309284147</c:v>
                </c:pt>
                <c:pt idx="8">
                  <c:v>10554.564232689221</c:v>
                </c:pt>
                <c:pt idx="9">
                  <c:v>10361.724428112166</c:v>
                </c:pt>
                <c:pt idx="10">
                  <c:v>8824.6922393626555</c:v>
                </c:pt>
                <c:pt idx="11">
                  <c:v>7943.8833504022541</c:v>
                </c:pt>
                <c:pt idx="12">
                  <c:v>7801.9308404905205</c:v>
                </c:pt>
                <c:pt idx="13">
                  <c:v>0</c:v>
                </c:pt>
              </c:numCache>
            </c:numRef>
          </c:xVal>
          <c:yVal>
            <c:numRef>
              <c:f>'Compute Sheet'!$I$48:$I$63</c:f>
              <c:numCache>
                <c:formatCode>0.0</c:formatCode>
                <c:ptCount val="16"/>
                <c:pt idx="0">
                  <c:v>5868.8778304000007</c:v>
                </c:pt>
                <c:pt idx="1">
                  <c:v>5868.8779963123598</c:v>
                </c:pt>
                <c:pt idx="2">
                  <c:v>5847.6679877112119</c:v>
                </c:pt>
                <c:pt idx="3">
                  <c:v>5653.2579161290314</c:v>
                </c:pt>
                <c:pt idx="4">
                  <c:v>4821.9073043625167</c:v>
                </c:pt>
                <c:pt idx="5">
                  <c:v>5040.9186125960041</c:v>
                </c:pt>
                <c:pt idx="6">
                  <c:v>4753.7168611721609</c:v>
                </c:pt>
                <c:pt idx="7">
                  <c:v>4843.6487308755759</c:v>
                </c:pt>
                <c:pt idx="8">
                  <c:v>3093.2940718894024</c:v>
                </c:pt>
                <c:pt idx="9">
                  <c:v>2809.5522967741949</c:v>
                </c:pt>
                <c:pt idx="10">
                  <c:v>1822.6785013824895</c:v>
                </c:pt>
                <c:pt idx="11">
                  <c:v>1458.3682894009225</c:v>
                </c:pt>
                <c:pt idx="12">
                  <c:v>1401.5493124423995</c:v>
                </c:pt>
                <c:pt idx="13">
                  <c:v>-1553.2812000000015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AE-4301-87EB-AF5D5DBB1DFE}"/>
            </c:ext>
          </c:extLst>
        </c:ser>
        <c:ser>
          <c:idx val="1"/>
          <c:order val="1"/>
          <c:tx>
            <c:strRef>
              <c:f>'Compute Sheet'!$K$74:$L$74</c:f>
              <c:strCache>
                <c:ptCount val="1"/>
                <c:pt idx="0">
                  <c:v>Combination 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'Compute Sheet'!$K$76:$K$78</c:f>
              <c:numCache>
                <c:formatCode>0.00</c:formatCode>
                <c:ptCount val="3"/>
                <c:pt idx="0">
                  <c:v>0</c:v>
                </c:pt>
                <c:pt idx="1">
                  <c:v>10000</c:v>
                </c:pt>
                <c:pt idx="2">
                  <c:v>8264.677562096449</c:v>
                </c:pt>
              </c:numCache>
            </c:numRef>
          </c:xVal>
          <c:yVal>
            <c:numRef>
              <c:f>'Compute Sheet'!$L$76:$L$78</c:f>
              <c:numCache>
                <c:formatCode>0.00</c:formatCode>
                <c:ptCount val="3"/>
                <c:pt idx="0">
                  <c:v>0</c:v>
                </c:pt>
                <c:pt idx="1">
                  <c:v>6000</c:v>
                </c:pt>
                <c:pt idx="2">
                  <c:v>4958.8065571493371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AE-4301-87EB-AF5D5DBB1DFE}"/>
            </c:ext>
          </c:extLst>
        </c:ser>
        <c:ser>
          <c:idx val="2"/>
          <c:order val="2"/>
          <c:tx>
            <c:strRef>
              <c:f>'Compute Sheet'!$K$80:$L$80</c:f>
              <c:strCache>
                <c:ptCount val="1"/>
                <c:pt idx="0">
                  <c:v>Combination 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3"/>
              </a:solidFill>
              <a:ln w="9525">
                <a:solidFill>
                  <a:srgbClr val="1D8348"/>
                </a:solidFill>
                <a:prstDash val="solid"/>
              </a:ln>
              <a:effectLst/>
            </c:spPr>
          </c:marker>
          <c:xVal>
            <c:numRef>
              <c:f>'Compute Sheet'!$K$82:$K$84</c:f>
              <c:numCache>
                <c:formatCode>0.00</c:formatCode>
                <c:ptCount val="3"/>
                <c:pt idx="0">
                  <c:v>0</c:v>
                </c:pt>
                <c:pt idx="1">
                  <c:v>1471.5</c:v>
                </c:pt>
                <c:pt idx="2">
                  <c:v>2515.2333625576803</c:v>
                </c:pt>
              </c:numCache>
            </c:numRef>
          </c:xVal>
          <c:yVal>
            <c:numRef>
              <c:f>'Compute Sheet'!$L$82:$L$84</c:f>
              <c:numCache>
                <c:formatCode>0.00</c:formatCode>
                <c:ptCount val="3"/>
                <c:pt idx="0">
                  <c:v>0</c:v>
                </c:pt>
                <c:pt idx="1">
                  <c:v>3433.5</c:v>
                </c:pt>
                <c:pt idx="2">
                  <c:v>5868.8779043341747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AE-4301-87EB-AF5D5DBB1DFE}"/>
            </c:ext>
          </c:extLst>
        </c:ser>
        <c:ser>
          <c:idx val="3"/>
          <c:order val="3"/>
          <c:tx>
            <c:strRef>
              <c:f>'Compute Sheet'!$K$86:$L$86</c:f>
              <c:strCache>
                <c:ptCount val="1"/>
                <c:pt idx="0">
                  <c:v>Combination 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4"/>
              </a:solidFill>
              <a:ln w="9525">
                <a:solidFill>
                  <a:srgbClr val="1A86C1"/>
                </a:solidFill>
                <a:prstDash val="solid"/>
              </a:ln>
              <a:effectLst/>
            </c:spPr>
          </c:marker>
          <c:xVal>
            <c:numRef>
              <c:f>'Compute Sheet'!$K$88:$K$90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'Compute Sheet'!$L$88:$L$90</c:f>
              <c:numCache>
                <c:formatCode>0.00</c:formatCode>
                <c:ptCount val="3"/>
                <c:pt idx="0">
                  <c:v>0</c:v>
                </c:pt>
                <c:pt idx="1">
                  <c:v>549.36</c:v>
                </c:pt>
                <c:pt idx="2">
                  <c:v>5868.8778304000007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AE-4301-87EB-AF5D5DBB1DFE}"/>
            </c:ext>
          </c:extLst>
        </c:ser>
        <c:ser>
          <c:idx val="4"/>
          <c:order val="4"/>
          <c:tx>
            <c:strRef>
              <c:f>'Compute Sheet'!$N$74:$O$74</c:f>
              <c:strCache>
                <c:ptCount val="1"/>
                <c:pt idx="0">
                  <c:v>Combination 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/>
              </a:solidFill>
              <a:ln w="9525">
                <a:solidFill>
                  <a:srgbClr val="A569BD"/>
                </a:solidFill>
                <a:prstDash val="solid"/>
              </a:ln>
              <a:effectLst/>
            </c:spPr>
          </c:marker>
          <c:xVal>
            <c:numRef>
              <c:f>'Compute Sheet'!$N$76:$N$78</c:f>
              <c:numCache>
                <c:formatCode>0.00</c:formatCode>
                <c:ptCount val="3"/>
                <c:pt idx="0">
                  <c:v>0</c:v>
                </c:pt>
                <c:pt idx="1">
                  <c:v>340</c:v>
                </c:pt>
                <c:pt idx="2">
                  <c:v>724.66258427610774</c:v>
                </c:pt>
              </c:numCache>
            </c:numRef>
          </c:xVal>
          <c:yVal>
            <c:numRef>
              <c:f>'Compute Sheet'!$O$76:$O$78</c:f>
              <c:numCache>
                <c:formatCode>0.00</c:formatCode>
                <c:ptCount val="3"/>
                <c:pt idx="0">
                  <c:v>0</c:v>
                </c:pt>
                <c:pt idx="1">
                  <c:v>-600</c:v>
                </c:pt>
                <c:pt idx="2">
                  <c:v>-1278.8292522678191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AE-4301-87EB-AF5D5DBB1DFE}"/>
            </c:ext>
          </c:extLst>
        </c:ser>
        <c:ser>
          <c:idx val="5"/>
          <c:order val="5"/>
          <c:tx>
            <c:strRef>
              <c:f>'Compute Sheet'!$N$80:$O$80</c:f>
              <c:strCache>
                <c:ptCount val="1"/>
                <c:pt idx="0">
                  <c:v>Combination 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6"/>
              </a:solidFill>
              <a:ln w="9525">
                <a:solidFill>
                  <a:srgbClr val="AAB7B8"/>
                </a:solidFill>
                <a:prstDash val="solid"/>
              </a:ln>
              <a:effectLst/>
            </c:spPr>
          </c:marker>
          <c:xVal>
            <c:numRef>
              <c:f>'Compute Sheet'!$N$82:$N$84</c:f>
              <c:numCache>
                <c:formatCode>0.00</c:formatCode>
                <c:ptCount val="3"/>
                <c:pt idx="0">
                  <c:v>0</c:v>
                </c:pt>
                <c:pt idx="1">
                  <c:v>2000</c:v>
                </c:pt>
                <c:pt idx="2">
                  <c:v>5797.6268477681815</c:v>
                </c:pt>
              </c:numCache>
            </c:numRef>
          </c:xVal>
          <c:yVal>
            <c:numRef>
              <c:f>'Compute Sheet'!$O$82:$O$84</c:f>
              <c:numCache>
                <c:formatCode>0.00</c:formatCode>
                <c:ptCount val="3"/>
                <c:pt idx="0">
                  <c:v>0</c:v>
                </c:pt>
                <c:pt idx="1">
                  <c:v>2000</c:v>
                </c:pt>
                <c:pt idx="2">
                  <c:v>5797.6268489467302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AE-4301-87EB-AF5D5DBB1DFE}"/>
            </c:ext>
          </c:extLst>
        </c:ser>
        <c:ser>
          <c:idx val="6"/>
          <c:order val="6"/>
          <c:tx>
            <c:strRef>
              <c:f>'Compute Sheet'!$N$86:$O$86</c:f>
              <c:strCache>
                <c:ptCount val="1"/>
                <c:pt idx="0">
                  <c:v>Combination 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616A6B"/>
                </a:solidFill>
                <a:prstDash val="solid"/>
              </a:ln>
              <a:effectLst/>
            </c:spPr>
          </c:marker>
          <c:xVal>
            <c:numRef>
              <c:f>'Compute Sheet'!$N$88:$N$90</c:f>
              <c:numCache>
                <c:formatCode>0.00</c:formatCode>
                <c:ptCount val="3"/>
                <c:pt idx="0">
                  <c:v>0</c:v>
                </c:pt>
                <c:pt idx="1">
                  <c:v>6000</c:v>
                </c:pt>
                <c:pt idx="2">
                  <c:v>4101.2584554823097</c:v>
                </c:pt>
              </c:numCache>
            </c:numRef>
          </c:xVal>
          <c:yVal>
            <c:numRef>
              <c:f>'Compute Sheet'!$O$88:$O$90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-8.8278868427096313E-3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AE-4301-87EB-AF5D5DBB1DFE}"/>
            </c:ext>
          </c:extLst>
        </c:ser>
        <c:ser>
          <c:idx val="7"/>
          <c:order val="7"/>
          <c:tx>
            <c:strRef>
              <c:f>'Compute Sheet'!$Q$74:$R$74</c:f>
              <c:strCache>
                <c:ptCount val="1"/>
                <c:pt idx="0">
                  <c:v>Combination 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CD6155"/>
                </a:solidFill>
                <a:prstDash val="solid"/>
              </a:ln>
              <a:effectLst/>
            </c:spPr>
          </c:marker>
          <c:xVal>
            <c:numRef>
              <c:f>'Compute Sheet'!$Q$76:$Q$78</c:f>
              <c:numCache>
                <c:formatCode>0.00</c:formatCode>
                <c:ptCount val="3"/>
                <c:pt idx="0">
                  <c:v>0</c:v>
                </c:pt>
                <c:pt idx="1">
                  <c:v>2000</c:v>
                </c:pt>
                <c:pt idx="2">
                  <c:v>1994.6193432953251</c:v>
                </c:pt>
              </c:numCache>
            </c:numRef>
          </c:xVal>
          <c:yVal>
            <c:numRef>
              <c:f>'Compute Sheet'!$R$76:$R$78</c:f>
              <c:numCache>
                <c:formatCode>0.00</c:formatCode>
                <c:ptCount val="3"/>
                <c:pt idx="0">
                  <c:v>0</c:v>
                </c:pt>
                <c:pt idx="1">
                  <c:v>-800</c:v>
                </c:pt>
                <c:pt idx="2" formatCode="0.0">
                  <c:v>-797.85767513493124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AE-4301-87EB-AF5D5DBB1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08416"/>
        <c:axId val="382708088"/>
      </c:scatterChart>
      <c:valAx>
        <c:axId val="3827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Moment, KN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2708088"/>
        <c:crosses val="autoZero"/>
        <c:crossBetween val="midCat"/>
      </c:valAx>
      <c:valAx>
        <c:axId val="38270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Axial Load, KN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270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31</xdr:row>
          <xdr:rowOff>0</xdr:rowOff>
        </xdr:from>
        <xdr:to>
          <xdr:col>2</xdr:col>
          <xdr:colOff>266700</xdr:colOff>
          <xdr:row>32</xdr:row>
          <xdr:rowOff>106680</xdr:rowOff>
        </xdr:to>
        <xdr:sp macro="" textlink="">
          <xdr:nvSpPr>
            <xdr:cNvPr id="8197" name="CommandButton1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31</xdr:row>
          <xdr:rowOff>0</xdr:rowOff>
        </xdr:from>
        <xdr:to>
          <xdr:col>4</xdr:col>
          <xdr:colOff>236220</xdr:colOff>
          <xdr:row>32</xdr:row>
          <xdr:rowOff>106680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31</xdr:row>
          <xdr:rowOff>0</xdr:rowOff>
        </xdr:from>
        <xdr:to>
          <xdr:col>6</xdr:col>
          <xdr:colOff>236220</xdr:colOff>
          <xdr:row>32</xdr:row>
          <xdr:rowOff>106680</xdr:rowOff>
        </xdr:to>
        <xdr:sp macro="" textlink="">
          <xdr:nvSpPr>
            <xdr:cNvPr id="8199" name="CommandButton3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353124</xdr:colOff>
      <xdr:row>5</xdr:row>
      <xdr:rowOff>160020</xdr:rowOff>
    </xdr:from>
    <xdr:to>
      <xdr:col>3</xdr:col>
      <xdr:colOff>609599</xdr:colOff>
      <xdr:row>16</xdr:row>
      <xdr:rowOff>88205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9CEBAD-F8A5-4657-A273-F68C3395C0E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1145604" y="1211580"/>
          <a:ext cx="1841435" cy="19398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17</xdr:row>
      <xdr:rowOff>7620</xdr:rowOff>
    </xdr:from>
    <xdr:to>
      <xdr:col>6</xdr:col>
      <xdr:colOff>396240</xdr:colOff>
      <xdr:row>30</xdr:row>
      <xdr:rowOff>99060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5E09F1F-DF75-4A04-BE30-B25FC197AACA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t="3411" b="5818"/>
        <a:stretch/>
      </xdr:blipFill>
      <xdr:spPr bwMode="auto">
        <a:xfrm>
          <a:off x="2529840" y="3253740"/>
          <a:ext cx="2621280" cy="246888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54</xdr:row>
          <xdr:rowOff>7620</xdr:rowOff>
        </xdr:from>
        <xdr:to>
          <xdr:col>2</xdr:col>
          <xdr:colOff>213360</xdr:colOff>
          <xdr:row>55</xdr:row>
          <xdr:rowOff>121920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54</xdr:row>
          <xdr:rowOff>7620</xdr:rowOff>
        </xdr:from>
        <xdr:to>
          <xdr:col>5</xdr:col>
          <xdr:colOff>45720</xdr:colOff>
          <xdr:row>55</xdr:row>
          <xdr:rowOff>121920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54</xdr:row>
          <xdr:rowOff>7620</xdr:rowOff>
        </xdr:from>
        <xdr:to>
          <xdr:col>7</xdr:col>
          <xdr:colOff>304800</xdr:colOff>
          <xdr:row>55</xdr:row>
          <xdr:rowOff>121920</xdr:rowOff>
        </xdr:to>
        <xdr:sp macro="" textlink="">
          <xdr:nvSpPr>
            <xdr:cNvPr id="7172" name="CommandButton3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54</xdr:row>
          <xdr:rowOff>7620</xdr:rowOff>
        </xdr:from>
        <xdr:to>
          <xdr:col>10</xdr:col>
          <xdr:colOff>30480</xdr:colOff>
          <xdr:row>55</xdr:row>
          <xdr:rowOff>121920</xdr:rowOff>
        </xdr:to>
        <xdr:sp macro="" textlink="">
          <xdr:nvSpPr>
            <xdr:cNvPr id="7173" name="CommandButton4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572861</xdr:colOff>
      <xdr:row>1</xdr:row>
      <xdr:rowOff>95250</xdr:rowOff>
    </xdr:from>
    <xdr:to>
      <xdr:col>7</xdr:col>
      <xdr:colOff>352926</xdr:colOff>
      <xdr:row>19</xdr:row>
      <xdr:rowOff>77559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1193347" y="280307"/>
          <a:ext cx="3039292" cy="3563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312420</xdr:colOff>
          <xdr:row>92</xdr:row>
          <xdr:rowOff>22860</xdr:rowOff>
        </xdr:from>
        <xdr:to>
          <xdr:col>4</xdr:col>
          <xdr:colOff>76200</xdr:colOff>
          <xdr:row>93</xdr:row>
          <xdr:rowOff>137160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92</xdr:row>
          <xdr:rowOff>22860</xdr:rowOff>
        </xdr:from>
        <xdr:to>
          <xdr:col>6</xdr:col>
          <xdr:colOff>251460</xdr:colOff>
          <xdr:row>93</xdr:row>
          <xdr:rowOff>137160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92</xdr:row>
          <xdr:rowOff>22860</xdr:rowOff>
        </xdr:from>
        <xdr:to>
          <xdr:col>8</xdr:col>
          <xdr:colOff>358140</xdr:colOff>
          <xdr:row>93</xdr:row>
          <xdr:rowOff>137160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92</xdr:row>
          <xdr:rowOff>22860</xdr:rowOff>
        </xdr:from>
        <xdr:to>
          <xdr:col>1</xdr:col>
          <xdr:colOff>533400</xdr:colOff>
          <xdr:row>93</xdr:row>
          <xdr:rowOff>137160</xdr:rowOff>
        </xdr:to>
        <xdr:sp macro="" textlink="">
          <xdr:nvSpPr>
            <xdr:cNvPr id="5125" name="CommandButton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546100</xdr:colOff>
      <xdr:row>2</xdr:row>
      <xdr:rowOff>139700</xdr:rowOff>
    </xdr:from>
    <xdr:to>
      <xdr:col>8</xdr:col>
      <xdr:colOff>482603</xdr:colOff>
      <xdr:row>18</xdr:row>
      <xdr:rowOff>88898</xdr:rowOff>
    </xdr:to>
    <xdr:sp macro="" textlink="">
      <xdr:nvSpPr>
        <xdr:cNvPr id="8" name="Flecha curvada hacia arrib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16200000">
          <a:off x="3981453" y="1733547"/>
          <a:ext cx="2819398" cy="571503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447491</xdr:colOff>
      <xdr:row>4</xdr:row>
      <xdr:rowOff>121921</xdr:rowOff>
    </xdr:from>
    <xdr:to>
      <xdr:col>8</xdr:col>
      <xdr:colOff>280554</xdr:colOff>
      <xdr:row>14</xdr:row>
      <xdr:rowOff>134752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3426218" y="939339"/>
          <a:ext cx="1699963" cy="18139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61</xdr:row>
          <xdr:rowOff>76200</xdr:rowOff>
        </xdr:from>
        <xdr:to>
          <xdr:col>9</xdr:col>
          <xdr:colOff>541020</xdr:colOff>
          <xdr:row>63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61</xdr:row>
          <xdr:rowOff>76200</xdr:rowOff>
        </xdr:from>
        <xdr:to>
          <xdr:col>4</xdr:col>
          <xdr:colOff>624840</xdr:colOff>
          <xdr:row>63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480060</xdr:colOff>
          <xdr:row>61</xdr:row>
          <xdr:rowOff>76200</xdr:rowOff>
        </xdr:from>
        <xdr:to>
          <xdr:col>7</xdr:col>
          <xdr:colOff>251460</xdr:colOff>
          <xdr:row>63</xdr:row>
          <xdr:rowOff>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64</xdr:row>
          <xdr:rowOff>114300</xdr:rowOff>
        </xdr:from>
        <xdr:to>
          <xdr:col>2</xdr:col>
          <xdr:colOff>464820</xdr:colOff>
          <xdr:row>66</xdr:row>
          <xdr:rowOff>38100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93521</xdr:colOff>
      <xdr:row>5</xdr:row>
      <xdr:rowOff>45718</xdr:rowOff>
    </xdr:from>
    <xdr:to>
      <xdr:col>9</xdr:col>
      <xdr:colOff>441961</xdr:colOff>
      <xdr:row>14</xdr:row>
      <xdr:rowOff>145469</xdr:rowOff>
    </xdr:to>
    <xdr:sp macro="" textlink="">
      <xdr:nvSpPr>
        <xdr:cNvPr id="35" name="Flecha curvada hacia arriba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 rot="16200000">
          <a:off x="4789865" y="1750174"/>
          <a:ext cx="1745671" cy="34844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61</xdr:row>
          <xdr:rowOff>76200</xdr:rowOff>
        </xdr:from>
        <xdr:to>
          <xdr:col>2</xdr:col>
          <xdr:colOff>472440</xdr:colOff>
          <xdr:row>63</xdr:row>
          <xdr:rowOff>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64</xdr:row>
          <xdr:rowOff>114300</xdr:rowOff>
        </xdr:from>
        <xdr:to>
          <xdr:col>4</xdr:col>
          <xdr:colOff>624840</xdr:colOff>
          <xdr:row>66</xdr:row>
          <xdr:rowOff>38100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2</xdr:row>
      <xdr:rowOff>177800</xdr:rowOff>
    </xdr:from>
    <xdr:to>
      <xdr:col>4</xdr:col>
      <xdr:colOff>264160</xdr:colOff>
      <xdr:row>17</xdr:row>
      <xdr:rowOff>165100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A3B27C-31A9-4280-ACB1-B3D0C1EC78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24</xdr:row>
      <xdr:rowOff>91440</xdr:rowOff>
    </xdr:from>
    <xdr:to>
      <xdr:col>8</xdr:col>
      <xdr:colOff>147320</xdr:colOff>
      <xdr:row>45</xdr:row>
      <xdr:rowOff>60960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85E116-937C-4192-8041-C093AE75FA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stizapa@uagro.m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Relationship Id="rId1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0000"/>
  </sheetPr>
  <dimension ref="B3:F48"/>
  <sheetViews>
    <sheetView showGridLines="0" tabSelected="1" topLeftCell="A17" zoomScaleNormal="100" workbookViewId="0">
      <selection activeCell="H22" sqref="H22"/>
    </sheetView>
  </sheetViews>
  <sheetFormatPr baseColWidth="10" defaultRowHeight="14.4" x14ac:dyDescent="0.3"/>
  <sheetData>
    <row r="3" spans="2:6" ht="18" x14ac:dyDescent="0.35">
      <c r="B3" s="140" t="s">
        <v>73</v>
      </c>
      <c r="C3" s="141"/>
      <c r="D3" s="141"/>
      <c r="E3" s="141"/>
      <c r="F3" s="141"/>
    </row>
    <row r="4" spans="2:6" ht="18" x14ac:dyDescent="0.35">
      <c r="B4" s="140" t="s">
        <v>71</v>
      </c>
      <c r="C4" s="141"/>
      <c r="D4" s="141"/>
      <c r="E4" s="141"/>
      <c r="F4" s="141"/>
    </row>
    <row r="5" spans="2:6" ht="18" x14ac:dyDescent="0.35">
      <c r="B5" s="103"/>
      <c r="C5" s="143" t="s">
        <v>78</v>
      </c>
      <c r="D5" s="143"/>
      <c r="E5" s="104"/>
      <c r="F5" s="104"/>
    </row>
    <row r="6" spans="2:6" x14ac:dyDescent="0.3">
      <c r="C6" s="142"/>
      <c r="D6" s="142"/>
    </row>
    <row r="7" spans="2:6" x14ac:dyDescent="0.3">
      <c r="C7" s="108"/>
      <c r="D7" s="108"/>
    </row>
    <row r="8" spans="2:6" x14ac:dyDescent="0.3">
      <c r="C8" s="108"/>
      <c r="D8" s="108"/>
    </row>
    <row r="44" spans="2:5" ht="15.6" x14ac:dyDescent="0.3">
      <c r="B44" s="105" t="s">
        <v>74</v>
      </c>
      <c r="C44" s="101"/>
    </row>
    <row r="45" spans="2:5" x14ac:dyDescent="0.3">
      <c r="B45" s="101" t="s">
        <v>88</v>
      </c>
    </row>
    <row r="46" spans="2:5" x14ac:dyDescent="0.3">
      <c r="B46" s="101" t="s">
        <v>75</v>
      </c>
    </row>
    <row r="47" spans="2:5" x14ac:dyDescent="0.3">
      <c r="B47" s="106" t="s">
        <v>76</v>
      </c>
    </row>
    <row r="48" spans="2:5" x14ac:dyDescent="0.3">
      <c r="B48" s="101" t="s">
        <v>72</v>
      </c>
      <c r="D48" s="107" t="s">
        <v>77</v>
      </c>
      <c r="E48" s="102"/>
    </row>
  </sheetData>
  <mergeCells count="4">
    <mergeCell ref="B3:F3"/>
    <mergeCell ref="B4:F4"/>
    <mergeCell ref="C6:D6"/>
    <mergeCell ref="C5:D5"/>
  </mergeCells>
  <hyperlinks>
    <hyperlink ref="D48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8199" r:id="rId5" name="CommandButton3">
          <controlPr defaultSize="0" autoLine="0" autoPict="0" r:id="rId6">
            <anchor moveWithCells="1">
              <from>
                <xdr:col>4</xdr:col>
                <xdr:colOff>784860</xdr:colOff>
                <xdr:row>31</xdr:row>
                <xdr:rowOff>0</xdr:rowOff>
              </from>
              <to>
                <xdr:col>6</xdr:col>
                <xdr:colOff>236220</xdr:colOff>
                <xdr:row>32</xdr:row>
                <xdr:rowOff>106680</xdr:rowOff>
              </to>
            </anchor>
          </controlPr>
        </control>
      </mc:Choice>
      <mc:Fallback>
        <control shapeId="8199" r:id="rId5" name="CommandButton3"/>
      </mc:Fallback>
    </mc:AlternateContent>
    <mc:AlternateContent xmlns:mc="http://schemas.openxmlformats.org/markup-compatibility/2006">
      <mc:Choice Requires="x14">
        <control shapeId="8198" r:id="rId7" name="CommandButton2">
          <controlPr defaultSize="0" autoLine="0" autoPict="0" r:id="rId8">
            <anchor moveWithCells="1">
              <from>
                <xdr:col>2</xdr:col>
                <xdr:colOff>784860</xdr:colOff>
                <xdr:row>31</xdr:row>
                <xdr:rowOff>0</xdr:rowOff>
              </from>
              <to>
                <xdr:col>4</xdr:col>
                <xdr:colOff>236220</xdr:colOff>
                <xdr:row>32</xdr:row>
                <xdr:rowOff>106680</xdr:rowOff>
              </to>
            </anchor>
          </controlPr>
        </control>
      </mc:Choice>
      <mc:Fallback>
        <control shapeId="8198" r:id="rId7" name="CommandButton2"/>
      </mc:Fallback>
    </mc:AlternateContent>
    <mc:AlternateContent xmlns:mc="http://schemas.openxmlformats.org/markup-compatibility/2006">
      <mc:Choice Requires="x14">
        <control shapeId="8197" r:id="rId9" name="CommandButton1">
          <controlPr defaultSize="0" autoLine="0" r:id="rId10">
            <anchor moveWithCells="1">
              <from>
                <xdr:col>1</xdr:col>
                <xdr:colOff>22860</xdr:colOff>
                <xdr:row>31</xdr:row>
                <xdr:rowOff>0</xdr:rowOff>
              </from>
              <to>
                <xdr:col>2</xdr:col>
                <xdr:colOff>266700</xdr:colOff>
                <xdr:row>32</xdr:row>
                <xdr:rowOff>106680</xdr:rowOff>
              </to>
            </anchor>
          </controlPr>
        </control>
      </mc:Choice>
      <mc:Fallback>
        <control shapeId="8197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9" tint="0.39997558519241921"/>
  </sheetPr>
  <dimension ref="A1:P86"/>
  <sheetViews>
    <sheetView showGridLines="0" topLeftCell="A37" zoomScale="90" zoomScaleNormal="90" workbookViewId="0">
      <selection activeCell="L6" sqref="L6"/>
    </sheetView>
  </sheetViews>
  <sheetFormatPr baseColWidth="10" defaultRowHeight="14.4" x14ac:dyDescent="0.3"/>
  <cols>
    <col min="1" max="1" width="6" customWidth="1"/>
    <col min="2" max="3" width="7.77734375" customWidth="1"/>
    <col min="4" max="5" width="7.6640625" customWidth="1"/>
    <col min="6" max="6" width="8.88671875" customWidth="1"/>
    <col min="7" max="9" width="7.6640625" customWidth="1"/>
    <col min="10" max="10" width="9" customWidth="1"/>
    <col min="11" max="12" width="7.6640625" customWidth="1"/>
    <col min="14" max="14" width="9.5546875" customWidth="1"/>
    <col min="16" max="16" width="6" customWidth="1"/>
  </cols>
  <sheetData>
    <row r="1" spans="2:16" ht="18" x14ac:dyDescent="0.35">
      <c r="C1" s="144" t="s">
        <v>28</v>
      </c>
      <c r="D1" s="145"/>
      <c r="E1" s="145"/>
      <c r="F1" s="145"/>
      <c r="G1" s="145"/>
      <c r="H1" s="145"/>
      <c r="I1" s="145"/>
      <c r="J1" s="145"/>
    </row>
    <row r="2" spans="2:16" ht="13.95" customHeight="1" x14ac:dyDescent="0.3">
      <c r="C2" s="154" t="s">
        <v>26</v>
      </c>
      <c r="D2" s="155"/>
      <c r="E2" s="156"/>
      <c r="F2" s="109" t="s">
        <v>83</v>
      </c>
      <c r="G2" s="110"/>
    </row>
    <row r="3" spans="2:16" ht="13.95" customHeight="1" x14ac:dyDescent="0.3">
      <c r="B3" s="12"/>
      <c r="C3" s="36"/>
      <c r="D3" s="7"/>
    </row>
    <row r="4" spans="2:16" ht="13.95" customHeight="1" x14ac:dyDescent="0.3">
      <c r="B4" s="12"/>
      <c r="C4" s="36" t="s">
        <v>27</v>
      </c>
      <c r="D4" s="7"/>
    </row>
    <row r="5" spans="2:16" ht="13.95" customHeight="1" x14ac:dyDescent="0.35">
      <c r="C5" s="16" t="s">
        <v>15</v>
      </c>
      <c r="D5" s="16" t="s">
        <v>13</v>
      </c>
      <c r="E5" s="16" t="s">
        <v>14</v>
      </c>
      <c r="F5" s="16" t="s">
        <v>16</v>
      </c>
      <c r="G5" s="16" t="s">
        <v>15</v>
      </c>
      <c r="H5" s="16" t="s">
        <v>13</v>
      </c>
      <c r="I5" s="16" t="s">
        <v>14</v>
      </c>
      <c r="J5" s="16" t="s">
        <v>16</v>
      </c>
      <c r="O5" s="8"/>
      <c r="P5" s="9"/>
    </row>
    <row r="6" spans="2:16" ht="13.95" customHeight="1" x14ac:dyDescent="0.3">
      <c r="C6" s="13">
        <v>1</v>
      </c>
      <c r="D6" s="136">
        <v>0.1</v>
      </c>
      <c r="E6" s="136">
        <v>0.1</v>
      </c>
      <c r="F6" s="136">
        <v>0.71</v>
      </c>
      <c r="G6" s="136">
        <v>31</v>
      </c>
      <c r="H6" s="136">
        <v>6.7</v>
      </c>
      <c r="I6" s="136">
        <v>7.7</v>
      </c>
      <c r="J6" s="13">
        <v>0.71</v>
      </c>
      <c r="O6" s="8"/>
      <c r="P6" s="9"/>
    </row>
    <row r="7" spans="2:16" ht="13.95" customHeight="1" x14ac:dyDescent="0.3">
      <c r="C7" s="13">
        <v>2</v>
      </c>
      <c r="D7" s="136">
        <v>0.7</v>
      </c>
      <c r="E7" s="136">
        <v>0.1</v>
      </c>
      <c r="F7" s="136">
        <v>0.71</v>
      </c>
      <c r="G7" s="136">
        <v>32</v>
      </c>
      <c r="H7" s="136">
        <v>6.9</v>
      </c>
      <c r="I7" s="136">
        <v>7.7</v>
      </c>
      <c r="J7" s="13">
        <v>0.71</v>
      </c>
      <c r="O7" s="8"/>
      <c r="P7" s="7"/>
    </row>
    <row r="8" spans="2:16" ht="13.95" customHeight="1" x14ac:dyDescent="0.3">
      <c r="C8" s="13">
        <v>3</v>
      </c>
      <c r="D8" s="136">
        <v>1.3</v>
      </c>
      <c r="E8" s="136">
        <v>0.1</v>
      </c>
      <c r="F8" s="136">
        <v>0.71</v>
      </c>
      <c r="G8" s="136">
        <v>33</v>
      </c>
      <c r="H8" s="136">
        <v>7.5</v>
      </c>
      <c r="I8" s="136">
        <v>7.7</v>
      </c>
      <c r="J8" s="13">
        <v>0.71</v>
      </c>
      <c r="L8" s="138"/>
      <c r="M8" s="138"/>
      <c r="N8" s="138"/>
      <c r="O8" s="7"/>
    </row>
    <row r="9" spans="2:16" ht="13.95" customHeight="1" x14ac:dyDescent="0.3">
      <c r="C9" s="13">
        <v>4</v>
      </c>
      <c r="D9" s="136">
        <v>1.9</v>
      </c>
      <c r="E9" s="136">
        <v>0.1</v>
      </c>
      <c r="F9" s="136">
        <v>0.71</v>
      </c>
      <c r="G9" s="136">
        <v>34</v>
      </c>
      <c r="H9" s="136">
        <v>8.1</v>
      </c>
      <c r="I9" s="136">
        <v>7.7</v>
      </c>
      <c r="J9" s="13">
        <v>0.71</v>
      </c>
      <c r="L9" s="138"/>
      <c r="M9" s="139"/>
      <c r="N9" s="138"/>
      <c r="O9" s="7"/>
    </row>
    <row r="10" spans="2:16" ht="13.95" customHeight="1" x14ac:dyDescent="0.3">
      <c r="C10" s="13">
        <v>5</v>
      </c>
      <c r="D10" s="136">
        <v>2.1</v>
      </c>
      <c r="E10" s="136">
        <v>0.1</v>
      </c>
      <c r="F10" s="136">
        <v>0.71</v>
      </c>
      <c r="G10" s="136">
        <v>35</v>
      </c>
      <c r="H10" s="136">
        <v>8.5</v>
      </c>
      <c r="I10" s="136">
        <v>7.7</v>
      </c>
      <c r="J10" s="13">
        <v>0.71</v>
      </c>
      <c r="L10" s="138"/>
      <c r="M10" s="139"/>
      <c r="N10" s="138"/>
      <c r="O10" s="7"/>
    </row>
    <row r="11" spans="2:16" ht="13.95" customHeight="1" x14ac:dyDescent="0.3">
      <c r="C11" s="13">
        <v>6</v>
      </c>
      <c r="D11" s="136">
        <v>2.1</v>
      </c>
      <c r="E11" s="136">
        <v>0.3</v>
      </c>
      <c r="F11" s="136">
        <v>0.71</v>
      </c>
      <c r="G11" s="136">
        <v>36</v>
      </c>
      <c r="H11" s="136">
        <v>8.6999999999999993</v>
      </c>
      <c r="I11" s="136">
        <v>7.7</v>
      </c>
      <c r="J11" s="13">
        <v>0.71</v>
      </c>
      <c r="L11" s="138"/>
      <c r="M11" s="139"/>
      <c r="N11" s="138"/>
      <c r="O11" s="7"/>
    </row>
    <row r="12" spans="2:16" ht="13.95" customHeight="1" x14ac:dyDescent="0.3">
      <c r="C12" s="13">
        <v>7</v>
      </c>
      <c r="D12" s="136">
        <v>2.1</v>
      </c>
      <c r="E12" s="136">
        <v>0.9</v>
      </c>
      <c r="F12" s="136">
        <v>0.71</v>
      </c>
      <c r="G12" s="136">
        <v>37</v>
      </c>
      <c r="H12" s="136">
        <v>6.7</v>
      </c>
      <c r="I12" s="136">
        <v>7.5</v>
      </c>
      <c r="J12" s="13">
        <v>0.71</v>
      </c>
      <c r="L12" s="138"/>
      <c r="M12" s="139"/>
      <c r="N12" s="138"/>
    </row>
    <row r="13" spans="2:16" ht="13.95" customHeight="1" x14ac:dyDescent="0.3">
      <c r="C13" s="13">
        <v>8</v>
      </c>
      <c r="D13" s="136">
        <v>2.1</v>
      </c>
      <c r="E13" s="136">
        <v>1.5</v>
      </c>
      <c r="F13" s="136">
        <v>0.71</v>
      </c>
      <c r="G13" s="136">
        <v>38</v>
      </c>
      <c r="H13" s="136">
        <v>6.7</v>
      </c>
      <c r="I13" s="136">
        <v>7.1</v>
      </c>
      <c r="J13" s="13">
        <v>0.71</v>
      </c>
      <c r="L13" s="138"/>
      <c r="M13" s="139"/>
      <c r="N13" s="138"/>
    </row>
    <row r="14" spans="2:16" ht="13.95" customHeight="1" x14ac:dyDescent="0.3">
      <c r="C14" s="13">
        <v>9</v>
      </c>
      <c r="D14" s="136">
        <v>2.1</v>
      </c>
      <c r="E14" s="136">
        <v>2.1</v>
      </c>
      <c r="F14" s="136">
        <v>0.71</v>
      </c>
      <c r="G14" s="136">
        <v>39</v>
      </c>
      <c r="H14" s="136">
        <v>6.7</v>
      </c>
      <c r="I14" s="136">
        <v>6.5</v>
      </c>
      <c r="J14" s="13">
        <v>0.71</v>
      </c>
      <c r="L14" s="138"/>
      <c r="M14" s="138"/>
      <c r="N14" s="138"/>
    </row>
    <row r="15" spans="2:16" ht="13.95" customHeight="1" x14ac:dyDescent="0.3">
      <c r="C15" s="13">
        <v>10</v>
      </c>
      <c r="D15" s="136">
        <v>2.1</v>
      </c>
      <c r="E15" s="136">
        <v>2.7</v>
      </c>
      <c r="F15" s="136">
        <v>0.71</v>
      </c>
      <c r="G15" s="136">
        <v>40</v>
      </c>
      <c r="H15" s="136">
        <v>6.7</v>
      </c>
      <c r="I15" s="136">
        <v>5.9</v>
      </c>
      <c r="J15" s="13">
        <v>0.71</v>
      </c>
      <c r="L15" s="138"/>
      <c r="M15" s="138"/>
      <c r="N15" s="138"/>
    </row>
    <row r="16" spans="2:16" ht="13.95" customHeight="1" x14ac:dyDescent="0.3">
      <c r="C16" s="13">
        <v>11</v>
      </c>
      <c r="D16" s="136">
        <v>2.1</v>
      </c>
      <c r="E16" s="136">
        <v>3.3</v>
      </c>
      <c r="F16" s="136">
        <v>0.71</v>
      </c>
      <c r="G16" s="136">
        <v>41</v>
      </c>
      <c r="H16" s="136">
        <v>6.7</v>
      </c>
      <c r="I16" s="136">
        <v>5.7</v>
      </c>
      <c r="J16" s="13">
        <v>0.71</v>
      </c>
      <c r="L16" s="138"/>
      <c r="M16" s="138"/>
      <c r="N16" s="138"/>
    </row>
    <row r="17" spans="3:10" ht="13.95" customHeight="1" x14ac:dyDescent="0.3">
      <c r="C17" s="13">
        <v>12</v>
      </c>
      <c r="D17" s="136">
        <v>2.1</v>
      </c>
      <c r="E17" s="136">
        <v>3.9</v>
      </c>
      <c r="F17" s="136">
        <v>0.71</v>
      </c>
      <c r="G17" s="136">
        <v>42</v>
      </c>
      <c r="H17" s="136">
        <v>6.9</v>
      </c>
      <c r="I17" s="136">
        <v>5.7</v>
      </c>
      <c r="J17" s="13">
        <v>0.71</v>
      </c>
    </row>
    <row r="18" spans="3:10" ht="13.95" customHeight="1" x14ac:dyDescent="0.3">
      <c r="C18" s="13">
        <v>13</v>
      </c>
      <c r="D18" s="136">
        <v>2.1</v>
      </c>
      <c r="E18" s="136">
        <v>4.5</v>
      </c>
      <c r="F18" s="136">
        <v>0.71</v>
      </c>
      <c r="G18" s="136">
        <v>43</v>
      </c>
      <c r="H18" s="136">
        <v>7.3</v>
      </c>
      <c r="I18" s="136">
        <v>5.7</v>
      </c>
      <c r="J18" s="13">
        <v>0.71</v>
      </c>
    </row>
    <row r="19" spans="3:10" ht="13.95" customHeight="1" x14ac:dyDescent="0.3">
      <c r="C19" s="13">
        <v>14</v>
      </c>
      <c r="D19" s="136">
        <v>2.1</v>
      </c>
      <c r="E19" s="136">
        <v>4.7</v>
      </c>
      <c r="F19" s="136">
        <v>0.71</v>
      </c>
      <c r="G19" s="136">
        <v>44</v>
      </c>
      <c r="H19" s="136">
        <v>7.9</v>
      </c>
      <c r="I19" s="136">
        <v>5.7</v>
      </c>
      <c r="J19" s="13">
        <v>0.71</v>
      </c>
    </row>
    <row r="20" spans="3:10" ht="13.95" customHeight="1" x14ac:dyDescent="0.3">
      <c r="C20" s="13">
        <v>15</v>
      </c>
      <c r="D20" s="136">
        <v>1.9</v>
      </c>
      <c r="E20" s="136">
        <v>4.7</v>
      </c>
      <c r="F20" s="136">
        <v>0.71</v>
      </c>
      <c r="G20" s="136">
        <v>45</v>
      </c>
      <c r="H20" s="136">
        <v>8.5</v>
      </c>
      <c r="I20" s="136">
        <v>5.7</v>
      </c>
      <c r="J20" s="13">
        <v>0.71</v>
      </c>
    </row>
    <row r="21" spans="3:10" ht="13.95" customHeight="1" x14ac:dyDescent="0.3">
      <c r="C21" s="13">
        <v>16</v>
      </c>
      <c r="D21" s="136">
        <v>2.1</v>
      </c>
      <c r="E21" s="136">
        <v>4.9000000000000004</v>
      </c>
      <c r="F21" s="136">
        <v>0.71</v>
      </c>
      <c r="G21" s="136">
        <v>46</v>
      </c>
      <c r="H21" s="136">
        <v>8.6999999999999993</v>
      </c>
      <c r="I21" s="136">
        <v>5.7</v>
      </c>
      <c r="J21" s="13">
        <v>0.71</v>
      </c>
    </row>
    <row r="22" spans="3:10" ht="13.95" customHeight="1" x14ac:dyDescent="0.3">
      <c r="C22" s="13">
        <v>17</v>
      </c>
      <c r="D22" s="136">
        <v>2.1</v>
      </c>
      <c r="E22" s="136">
        <v>4.5</v>
      </c>
      <c r="F22" s="136">
        <v>0.71</v>
      </c>
      <c r="G22" s="136">
        <v>47</v>
      </c>
      <c r="H22" s="136">
        <v>8.6999999999999993</v>
      </c>
      <c r="I22" s="136">
        <v>5.5</v>
      </c>
      <c r="J22" s="13">
        <v>0.71</v>
      </c>
    </row>
    <row r="23" spans="3:10" ht="13.95" customHeight="1" x14ac:dyDescent="0.3">
      <c r="C23" s="13">
        <v>18</v>
      </c>
      <c r="D23" s="136">
        <v>2.1</v>
      </c>
      <c r="E23" s="136">
        <v>6.1</v>
      </c>
      <c r="F23" s="136">
        <v>0.71</v>
      </c>
      <c r="G23" s="136">
        <v>48</v>
      </c>
      <c r="H23" s="136">
        <v>8.6999999999999993</v>
      </c>
      <c r="I23" s="136">
        <v>5.3</v>
      </c>
      <c r="J23" s="13">
        <v>0.71</v>
      </c>
    </row>
    <row r="24" spans="3:10" ht="13.95" customHeight="1" x14ac:dyDescent="0.3">
      <c r="C24" s="13">
        <v>19</v>
      </c>
      <c r="D24" s="136">
        <v>2.1</v>
      </c>
      <c r="E24" s="136">
        <v>6.7</v>
      </c>
      <c r="F24" s="136">
        <v>0.71</v>
      </c>
      <c r="G24" s="136">
        <v>49</v>
      </c>
      <c r="H24" s="136">
        <v>6.7</v>
      </c>
      <c r="I24" s="136">
        <v>5.5</v>
      </c>
      <c r="J24" s="13">
        <v>0.71</v>
      </c>
    </row>
    <row r="25" spans="3:10" ht="13.95" customHeight="1" x14ac:dyDescent="0.3">
      <c r="C25" s="13">
        <v>20</v>
      </c>
      <c r="D25" s="136">
        <v>2.1</v>
      </c>
      <c r="E25" s="136">
        <v>7.3</v>
      </c>
      <c r="F25" s="136">
        <v>0.71</v>
      </c>
      <c r="G25" s="136">
        <v>50</v>
      </c>
      <c r="H25" s="136">
        <v>6.7</v>
      </c>
      <c r="I25" s="136">
        <v>5.0999999999999996</v>
      </c>
      <c r="J25" s="13">
        <v>0.71</v>
      </c>
    </row>
    <row r="26" spans="3:10" ht="13.95" customHeight="1" x14ac:dyDescent="0.3">
      <c r="C26" s="13">
        <v>21</v>
      </c>
      <c r="D26" s="136">
        <v>2.1</v>
      </c>
      <c r="E26" s="136">
        <v>7.5</v>
      </c>
      <c r="F26" s="136">
        <v>0.71</v>
      </c>
      <c r="G26" s="136">
        <v>51</v>
      </c>
      <c r="H26" s="136">
        <v>6.7</v>
      </c>
      <c r="I26" s="136">
        <v>4.5</v>
      </c>
      <c r="J26" s="13">
        <v>0.71</v>
      </c>
    </row>
    <row r="27" spans="3:10" ht="13.95" customHeight="1" x14ac:dyDescent="0.3">
      <c r="C27" s="13">
        <v>22</v>
      </c>
      <c r="D27" s="136">
        <v>2.1</v>
      </c>
      <c r="E27" s="136">
        <v>7.7</v>
      </c>
      <c r="F27" s="136">
        <v>0.71</v>
      </c>
      <c r="G27" s="136">
        <v>52</v>
      </c>
      <c r="H27" s="136">
        <v>6.7</v>
      </c>
      <c r="I27" s="136">
        <v>3.9</v>
      </c>
      <c r="J27" s="13">
        <v>0.71</v>
      </c>
    </row>
    <row r="28" spans="3:10" ht="13.95" customHeight="1" x14ac:dyDescent="0.3">
      <c r="C28" s="13">
        <v>23</v>
      </c>
      <c r="D28" s="136">
        <v>2.2999999999999998</v>
      </c>
      <c r="E28" s="136">
        <v>7.7</v>
      </c>
      <c r="F28" s="136">
        <v>0.71</v>
      </c>
      <c r="G28" s="136">
        <v>53</v>
      </c>
      <c r="H28" s="136">
        <v>6.7</v>
      </c>
      <c r="I28" s="136">
        <v>3.7</v>
      </c>
      <c r="J28" s="13">
        <v>0.71</v>
      </c>
    </row>
    <row r="29" spans="3:10" ht="13.95" customHeight="1" x14ac:dyDescent="0.3">
      <c r="C29" s="13">
        <v>24</v>
      </c>
      <c r="D29" s="136">
        <v>2.7</v>
      </c>
      <c r="E29" s="136">
        <v>7.7</v>
      </c>
      <c r="F29" s="136">
        <v>0.71</v>
      </c>
      <c r="G29" s="136">
        <v>54</v>
      </c>
      <c r="H29" s="136">
        <v>6.5</v>
      </c>
      <c r="I29" s="136">
        <v>3.7</v>
      </c>
      <c r="J29" s="13">
        <v>0.71</v>
      </c>
    </row>
    <row r="30" spans="3:10" ht="13.95" customHeight="1" x14ac:dyDescent="0.3">
      <c r="C30" s="13">
        <v>25</v>
      </c>
      <c r="D30" s="136">
        <v>3.5</v>
      </c>
      <c r="E30" s="136">
        <v>7.7</v>
      </c>
      <c r="F30" s="136">
        <v>0.71</v>
      </c>
      <c r="G30" s="136">
        <v>55</v>
      </c>
      <c r="H30" s="136">
        <v>5.9</v>
      </c>
      <c r="I30" s="136">
        <v>3.7</v>
      </c>
      <c r="J30" s="13">
        <v>0.71</v>
      </c>
    </row>
    <row r="31" spans="3:10" ht="13.95" customHeight="1" x14ac:dyDescent="0.3">
      <c r="C31" s="13">
        <v>26</v>
      </c>
      <c r="D31" s="136">
        <v>4.0999999999999996</v>
      </c>
      <c r="E31" s="136">
        <v>7.7</v>
      </c>
      <c r="F31" s="136">
        <v>0.71</v>
      </c>
      <c r="G31" s="136">
        <v>56</v>
      </c>
      <c r="H31" s="136">
        <v>5.3</v>
      </c>
      <c r="I31" s="136">
        <v>3.7</v>
      </c>
      <c r="J31" s="13">
        <v>0.71</v>
      </c>
    </row>
    <row r="32" spans="3:10" ht="13.95" customHeight="1" x14ac:dyDescent="0.3">
      <c r="C32" s="13">
        <v>27</v>
      </c>
      <c r="D32" s="136">
        <v>4.7</v>
      </c>
      <c r="E32" s="136">
        <v>7.7</v>
      </c>
      <c r="F32" s="136">
        <v>0.71</v>
      </c>
      <c r="G32" s="136">
        <v>57</v>
      </c>
      <c r="H32" s="136">
        <v>4.7</v>
      </c>
      <c r="I32" s="136">
        <v>3.7</v>
      </c>
      <c r="J32" s="13">
        <v>0.71</v>
      </c>
    </row>
    <row r="33" spans="1:11" ht="13.95" customHeight="1" x14ac:dyDescent="0.3">
      <c r="C33" s="13">
        <v>28</v>
      </c>
      <c r="D33" s="136">
        <v>5.3</v>
      </c>
      <c r="E33" s="136">
        <v>7.7</v>
      </c>
      <c r="F33" s="136">
        <v>0.71</v>
      </c>
      <c r="G33" s="136">
        <v>58</v>
      </c>
      <c r="H33" s="136">
        <v>4.0999999999999996</v>
      </c>
      <c r="I33" s="136">
        <v>3.7</v>
      </c>
      <c r="J33" s="13">
        <v>0.71</v>
      </c>
    </row>
    <row r="34" spans="1:11" ht="13.95" customHeight="1" x14ac:dyDescent="0.3">
      <c r="C34" s="13">
        <v>29</v>
      </c>
      <c r="D34" s="136">
        <v>5.9</v>
      </c>
      <c r="E34" s="136">
        <v>7.7</v>
      </c>
      <c r="F34" s="136">
        <v>0.71</v>
      </c>
      <c r="G34" s="136">
        <v>59</v>
      </c>
      <c r="H34" s="136">
        <v>3.5</v>
      </c>
      <c r="I34" s="136">
        <v>3.7</v>
      </c>
      <c r="J34" s="13">
        <v>0.71</v>
      </c>
    </row>
    <row r="35" spans="1:11" ht="13.95" customHeight="1" x14ac:dyDescent="0.3">
      <c r="C35" s="13">
        <v>30</v>
      </c>
      <c r="D35" s="136">
        <v>6.5</v>
      </c>
      <c r="E35" s="136">
        <v>7.7</v>
      </c>
      <c r="F35" s="136">
        <v>0.71</v>
      </c>
      <c r="G35" s="136"/>
      <c r="H35" s="136"/>
      <c r="I35" s="136"/>
      <c r="J35" s="13"/>
    </row>
    <row r="36" spans="1:11" ht="13.95" customHeight="1" x14ac:dyDescent="0.3">
      <c r="C36" s="10"/>
      <c r="D36" s="10"/>
      <c r="E36" s="10"/>
      <c r="F36" s="10"/>
      <c r="G36" s="10"/>
      <c r="H36" s="10"/>
      <c r="I36" s="10"/>
      <c r="J36" s="10"/>
    </row>
    <row r="37" spans="1:11" ht="13.95" customHeight="1" x14ac:dyDescent="0.3">
      <c r="A37" s="147" t="s">
        <v>29</v>
      </c>
      <c r="B37" s="148"/>
      <c r="C37" s="148"/>
      <c r="D37" s="148"/>
      <c r="G37" s="11"/>
      <c r="H37" s="146" t="s">
        <v>32</v>
      </c>
      <c r="I37" s="147"/>
      <c r="J37" s="147"/>
    </row>
    <row r="38" spans="1:11" ht="13.95" customHeight="1" x14ac:dyDescent="0.35">
      <c r="A38" s="151" t="s">
        <v>56</v>
      </c>
      <c r="B38" s="152"/>
      <c r="C38" s="152"/>
      <c r="D38" s="152"/>
      <c r="E38" s="153"/>
      <c r="F38" s="15">
        <v>19.2</v>
      </c>
      <c r="H38" s="20" t="s">
        <v>24</v>
      </c>
      <c r="I38" s="37" t="s">
        <v>25</v>
      </c>
      <c r="J38" s="20" t="s">
        <v>24</v>
      </c>
      <c r="K38" s="37" t="s">
        <v>25</v>
      </c>
    </row>
    <row r="39" spans="1:11" ht="13.95" customHeight="1" x14ac:dyDescent="0.3">
      <c r="A39" s="151" t="s">
        <v>31</v>
      </c>
      <c r="B39" s="152"/>
      <c r="C39" s="152"/>
      <c r="D39" s="152"/>
      <c r="E39" s="153"/>
      <c r="F39" s="15">
        <v>412</v>
      </c>
      <c r="H39" s="14">
        <v>1</v>
      </c>
      <c r="I39" s="39">
        <v>0</v>
      </c>
      <c r="J39" s="13">
        <f>H44+1</f>
        <v>7</v>
      </c>
      <c r="K39" s="38">
        <v>3.5000000000000001E-3</v>
      </c>
    </row>
    <row r="40" spans="1:11" ht="13.95" customHeight="1" x14ac:dyDescent="0.3">
      <c r="H40" s="13">
        <f>H39+1</f>
        <v>2</v>
      </c>
      <c r="I40" s="40">
        <v>5.0000000000000001E-4</v>
      </c>
      <c r="J40" s="13">
        <f t="shared" ref="J40:J45" si="0">J39+1</f>
        <v>8</v>
      </c>
      <c r="K40" s="21">
        <v>5.0000000000000001E-3</v>
      </c>
    </row>
    <row r="41" spans="1:11" ht="13.95" customHeight="1" x14ac:dyDescent="0.3">
      <c r="A41" s="149" t="s">
        <v>30</v>
      </c>
      <c r="B41" s="150"/>
      <c r="C41" s="150"/>
      <c r="D41" s="150"/>
      <c r="E41" s="150"/>
      <c r="F41" s="150"/>
      <c r="H41" s="13">
        <f>H40+1</f>
        <v>3</v>
      </c>
      <c r="I41" s="40">
        <v>1E-3</v>
      </c>
      <c r="J41" s="13">
        <f t="shared" si="0"/>
        <v>9</v>
      </c>
      <c r="K41" s="21">
        <v>8.0000000000000002E-3</v>
      </c>
    </row>
    <row r="42" spans="1:11" ht="13.95" customHeight="1" x14ac:dyDescent="0.35">
      <c r="A42" s="49" t="s">
        <v>40</v>
      </c>
      <c r="B42" s="46" t="s">
        <v>39</v>
      </c>
      <c r="C42" s="46" t="s">
        <v>38</v>
      </c>
      <c r="D42" s="33"/>
      <c r="E42" s="64"/>
      <c r="F42" s="64"/>
      <c r="G42" s="11"/>
      <c r="H42" s="13">
        <f>H41+1</f>
        <v>4</v>
      </c>
      <c r="I42" s="40">
        <v>1.5E-3</v>
      </c>
      <c r="J42" s="13">
        <f t="shared" si="0"/>
        <v>10</v>
      </c>
      <c r="K42" s="21">
        <v>0.01</v>
      </c>
    </row>
    <row r="43" spans="1:11" ht="13.95" customHeight="1" x14ac:dyDescent="0.3">
      <c r="A43" s="131">
        <v>1</v>
      </c>
      <c r="B43" s="134">
        <v>10000</v>
      </c>
      <c r="C43" s="134">
        <v>6000</v>
      </c>
      <c r="D43" s="118"/>
      <c r="E43" s="118"/>
      <c r="F43" s="118"/>
      <c r="G43" s="11"/>
      <c r="H43" s="13">
        <f>H42+1</f>
        <v>5</v>
      </c>
      <c r="I43" s="40">
        <v>2.0999999999999999E-3</v>
      </c>
      <c r="J43" s="13">
        <f t="shared" si="0"/>
        <v>11</v>
      </c>
      <c r="K43" s="21">
        <v>0.05</v>
      </c>
    </row>
    <row r="44" spans="1:11" ht="13.95" customHeight="1" x14ac:dyDescent="0.3">
      <c r="A44" s="131">
        <v>2</v>
      </c>
      <c r="B44" s="134">
        <f>150*9.81</f>
        <v>1471.5</v>
      </c>
      <c r="C44" s="134">
        <f>350*9.81</f>
        <v>3433.5</v>
      </c>
      <c r="D44" s="118"/>
      <c r="E44" s="118"/>
      <c r="F44" s="118"/>
      <c r="G44" s="11"/>
      <c r="H44" s="13">
        <f>H43+1</f>
        <v>6</v>
      </c>
      <c r="I44" s="40">
        <v>3.0000000000000001E-3</v>
      </c>
      <c r="J44" s="13">
        <f t="shared" si="0"/>
        <v>12</v>
      </c>
      <c r="K44" s="21">
        <v>0.1</v>
      </c>
    </row>
    <row r="45" spans="1:11" ht="13.95" customHeight="1" x14ac:dyDescent="0.3">
      <c r="A45" s="131">
        <v>3</v>
      </c>
      <c r="B45" s="134">
        <v>0</v>
      </c>
      <c r="C45" s="134">
        <f>56*9.81</f>
        <v>549.36</v>
      </c>
      <c r="D45" s="118"/>
      <c r="E45" s="118"/>
      <c r="F45" s="118"/>
      <c r="G45" s="11"/>
      <c r="H45" s="12"/>
      <c r="I45" s="12"/>
      <c r="J45" s="13">
        <f t="shared" si="0"/>
        <v>13</v>
      </c>
      <c r="K45" s="21">
        <v>0.15</v>
      </c>
    </row>
    <row r="46" spans="1:11" ht="13.95" customHeight="1" x14ac:dyDescent="0.3">
      <c r="A46" s="131">
        <v>4</v>
      </c>
      <c r="B46" s="134">
        <v>340</v>
      </c>
      <c r="C46" s="134">
        <v>-600</v>
      </c>
      <c r="D46" s="118"/>
      <c r="E46" s="118"/>
      <c r="F46" s="118"/>
      <c r="G46" s="11"/>
      <c r="H46" s="11"/>
      <c r="I46" s="11"/>
    </row>
    <row r="47" spans="1:11" ht="13.95" customHeight="1" x14ac:dyDescent="0.3">
      <c r="A47" s="131">
        <v>5</v>
      </c>
      <c r="B47" s="134">
        <v>2000</v>
      </c>
      <c r="C47" s="134">
        <v>2000</v>
      </c>
      <c r="D47" s="118"/>
      <c r="E47" s="118"/>
      <c r="F47" s="118"/>
      <c r="G47" s="11"/>
      <c r="H47" s="11"/>
      <c r="I47" s="11"/>
    </row>
    <row r="48" spans="1:11" ht="13.95" customHeight="1" x14ac:dyDescent="0.3">
      <c r="A48" s="132">
        <v>6</v>
      </c>
      <c r="B48" s="135">
        <v>6000</v>
      </c>
      <c r="C48" s="135">
        <v>0</v>
      </c>
      <c r="D48" s="7"/>
      <c r="E48" s="7"/>
      <c r="F48" s="7"/>
      <c r="G48" s="11"/>
      <c r="H48" s="11"/>
      <c r="I48" s="11"/>
    </row>
    <row r="49" spans="1:15" s="12" customFormat="1" ht="13.95" customHeight="1" x14ac:dyDescent="0.3">
      <c r="A49" s="132">
        <v>7</v>
      </c>
      <c r="B49" s="135">
        <v>2000</v>
      </c>
      <c r="C49" s="135">
        <v>-800</v>
      </c>
      <c r="G49" s="11"/>
      <c r="H49" s="11"/>
      <c r="I49" s="11"/>
      <c r="K49"/>
      <c r="L49"/>
      <c r="M49"/>
      <c r="N49"/>
    </row>
    <row r="50" spans="1:15" s="12" customFormat="1" ht="13.95" customHeight="1" x14ac:dyDescent="0.3">
      <c r="A50" s="132"/>
      <c r="B50" s="133"/>
      <c r="C50" s="133"/>
      <c r="D50" s="11"/>
      <c r="E50" s="11"/>
      <c r="F50" s="11"/>
      <c r="G50" s="11"/>
      <c r="H50" s="11"/>
      <c r="I50" s="11"/>
      <c r="J50" s="11"/>
      <c r="K50"/>
      <c r="L50"/>
      <c r="M50"/>
      <c r="N50"/>
    </row>
    <row r="51" spans="1:15" s="12" customFormat="1" ht="13.95" customHeight="1" x14ac:dyDescent="0.3">
      <c r="A51" s="112"/>
      <c r="B51" s="128"/>
      <c r="C51" s="128"/>
      <c r="D51" s="11"/>
      <c r="E51" s="11"/>
      <c r="F51" s="11"/>
      <c r="G51" s="11"/>
      <c r="H51" s="11"/>
      <c r="I51" s="11"/>
      <c r="J51" s="11"/>
      <c r="K51"/>
      <c r="L51"/>
      <c r="M51"/>
      <c r="N51"/>
    </row>
    <row r="52" spans="1:15" s="12" customFormat="1" ht="13.95" customHeight="1" x14ac:dyDescent="0.3">
      <c r="A52" s="112"/>
      <c r="B52" s="128"/>
      <c r="C52" s="128"/>
      <c r="D52" s="11"/>
      <c r="E52" s="11"/>
      <c r="F52" s="11"/>
      <c r="G52" s="11"/>
      <c r="H52" s="11"/>
      <c r="I52" s="11"/>
      <c r="J52" s="11"/>
      <c r="K52"/>
      <c r="L52"/>
      <c r="M52" s="7"/>
      <c r="N52" s="7"/>
      <c r="O52" s="7"/>
    </row>
    <row r="53" spans="1:15" s="12" customFormat="1" ht="13.95" customHeight="1" x14ac:dyDescent="0.3">
      <c r="A53" s="11">
        <f>MAX(A43:A52)</f>
        <v>7</v>
      </c>
      <c r="C53" s="11"/>
      <c r="D53" s="11"/>
      <c r="E53" s="11"/>
      <c r="F53" s="11"/>
      <c r="G53" s="11"/>
      <c r="H53" s="11"/>
      <c r="I53" s="11"/>
      <c r="J53" s="11"/>
      <c r="K53"/>
      <c r="L53"/>
      <c r="M53" s="7"/>
      <c r="N53" s="64"/>
      <c r="O53" s="7"/>
    </row>
    <row r="54" spans="1:15" s="12" customFormat="1" ht="13.95" customHeight="1" x14ac:dyDescent="0.3">
      <c r="C54" s="11"/>
      <c r="D54" s="11"/>
      <c r="E54" s="11"/>
      <c r="F54" s="11"/>
      <c r="G54" s="11"/>
      <c r="H54" s="11"/>
      <c r="I54" s="11"/>
      <c r="J54" s="11"/>
      <c r="K54"/>
      <c r="L54"/>
      <c r="M54" s="7"/>
      <c r="N54" s="117"/>
      <c r="O54" s="7"/>
    </row>
    <row r="55" spans="1:15" s="12" customFormat="1" ht="13.95" customHeight="1" x14ac:dyDescent="0.3">
      <c r="C55" s="11"/>
      <c r="D55" s="11"/>
      <c r="E55" s="11"/>
      <c r="F55" s="11"/>
      <c r="G55" s="11"/>
      <c r="H55" s="11"/>
      <c r="I55" s="11"/>
      <c r="J55" s="11"/>
      <c r="K55"/>
      <c r="L55"/>
      <c r="M55" s="7"/>
      <c r="N55" s="117"/>
      <c r="O55" s="7"/>
    </row>
    <row r="56" spans="1:15" s="12" customFormat="1" ht="13.95" customHeight="1" x14ac:dyDescent="0.3">
      <c r="C56" s="11"/>
      <c r="D56" s="11"/>
      <c r="E56" s="11"/>
      <c r="F56" s="11"/>
      <c r="G56" s="11"/>
      <c r="H56" s="11"/>
      <c r="I56" s="11"/>
      <c r="J56" s="11"/>
      <c r="K56"/>
      <c r="L56"/>
      <c r="M56" s="7"/>
      <c r="N56" s="117"/>
      <c r="O56" s="7"/>
    </row>
    <row r="57" spans="1:15" s="12" customFormat="1" ht="13.2" customHeight="1" x14ac:dyDescent="0.3">
      <c r="C57" s="11"/>
      <c r="D57" s="11"/>
      <c r="E57" s="11"/>
      <c r="F57" s="11"/>
      <c r="G57" s="11"/>
      <c r="H57" s="11"/>
      <c r="I57" s="11"/>
      <c r="J57" s="11"/>
      <c r="K57"/>
      <c r="L57"/>
      <c r="M57" s="7"/>
      <c r="N57" s="117"/>
      <c r="O57" s="7"/>
    </row>
    <row r="58" spans="1:15" s="12" customFormat="1" ht="13.2" customHeight="1" x14ac:dyDescent="0.3">
      <c r="C58" s="11"/>
      <c r="D58" s="11"/>
      <c r="E58" s="11"/>
      <c r="F58" s="11"/>
      <c r="G58" s="11"/>
      <c r="H58" s="11"/>
      <c r="I58" s="11"/>
      <c r="J58" s="11"/>
      <c r="K58"/>
      <c r="L58"/>
      <c r="M58" s="7"/>
      <c r="N58" s="117"/>
      <c r="O58" s="7"/>
    </row>
    <row r="59" spans="1:15" s="12" customFormat="1" ht="13.2" customHeight="1" x14ac:dyDescent="0.3">
      <c r="C59" s="11"/>
      <c r="D59" s="11"/>
      <c r="E59" s="11"/>
      <c r="F59" s="11"/>
      <c r="G59" s="11"/>
      <c r="H59" s="11"/>
      <c r="I59" s="11"/>
      <c r="J59" s="11"/>
      <c r="K59"/>
      <c r="L59"/>
      <c r="M59" s="7"/>
      <c r="N59" s="118"/>
      <c r="O59" s="7"/>
    </row>
    <row r="60" spans="1:15" s="12" customFormat="1" ht="13.2" customHeight="1" x14ac:dyDescent="0.3">
      <c r="C60" s="11"/>
      <c r="D60" s="11"/>
      <c r="E60" s="11"/>
      <c r="F60" s="11"/>
      <c r="G60" s="11"/>
      <c r="H60" s="11"/>
      <c r="I60" s="11"/>
      <c r="J60" s="11"/>
      <c r="K60"/>
      <c r="L60"/>
      <c r="M60" s="7"/>
      <c r="N60" s="7"/>
      <c r="O60" s="7"/>
    </row>
    <row r="61" spans="1:15" s="12" customFormat="1" ht="13.2" customHeight="1" x14ac:dyDescent="0.3"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5" s="12" customFormat="1" ht="13.2" customHeight="1" x14ac:dyDescent="0.3"/>
    <row r="63" spans="1:15" s="12" customFormat="1" ht="13.2" customHeight="1" x14ac:dyDescent="0.3"/>
    <row r="64" spans="1:15" s="12" customFormat="1" ht="13.2" customHeight="1" x14ac:dyDescent="0.3"/>
    <row r="65" s="12" customFormat="1" ht="13.2" customHeight="1" x14ac:dyDescent="0.3"/>
    <row r="66" s="12" customFormat="1" ht="13.2" customHeight="1" x14ac:dyDescent="0.3"/>
    <row r="67" s="12" customFormat="1" ht="13.2" customHeight="1" x14ac:dyDescent="0.3"/>
    <row r="68" s="12" customFormat="1" ht="13.2" customHeight="1" x14ac:dyDescent="0.3"/>
    <row r="69" s="12" customFormat="1" ht="13.2" customHeight="1" x14ac:dyDescent="0.3"/>
    <row r="70" s="12" customFormat="1" ht="13.2" customHeight="1" x14ac:dyDescent="0.3"/>
    <row r="71" s="12" customFormat="1" ht="13.2" customHeight="1" x14ac:dyDescent="0.3"/>
    <row r="72" s="12" customFormat="1" ht="13.2" customHeight="1" x14ac:dyDescent="0.3"/>
    <row r="73" s="12" customFormat="1" ht="13.2" customHeight="1" x14ac:dyDescent="0.3"/>
    <row r="74" s="12" customFormat="1" ht="13.2" customHeight="1" x14ac:dyDescent="0.3"/>
    <row r="75" s="12" customFormat="1" ht="13.2" customHeight="1" x14ac:dyDescent="0.3"/>
    <row r="76" s="12" customFormat="1" ht="13.2" customHeight="1" x14ac:dyDescent="0.3"/>
    <row r="77" s="12" customFormat="1" ht="13.2" customHeight="1" x14ac:dyDescent="0.3"/>
    <row r="78" s="12" customFormat="1" ht="13.2" customHeight="1" x14ac:dyDescent="0.3"/>
    <row r="79" s="12" customFormat="1" x14ac:dyDescent="0.3"/>
    <row r="80" s="12" customFormat="1" x14ac:dyDescent="0.3"/>
    <row r="81" s="12" customFormat="1" x14ac:dyDescent="0.3"/>
    <row r="82" s="12" customFormat="1" x14ac:dyDescent="0.3"/>
    <row r="83" s="12" customFormat="1" x14ac:dyDescent="0.3"/>
    <row r="84" s="12" customFormat="1" x14ac:dyDescent="0.3"/>
    <row r="85" s="12" customFormat="1" x14ac:dyDescent="0.3"/>
    <row r="86" s="12" customFormat="1" x14ac:dyDescent="0.3"/>
  </sheetData>
  <mergeCells count="7">
    <mergeCell ref="C1:J1"/>
    <mergeCell ref="H37:J37"/>
    <mergeCell ref="A37:D37"/>
    <mergeCell ref="A41:F41"/>
    <mergeCell ref="A38:E38"/>
    <mergeCell ref="A39:E39"/>
    <mergeCell ref="C2:E2"/>
  </mergeCells>
  <printOptions horizontalCentered="1"/>
  <pageMargins left="0.70866141732283472" right="0.70866141732283472" top="0.74803149606299213" bottom="0.74803149606299213" header="0.31496062992125984" footer="0.31496062992125984"/>
  <pageSetup orientation="portrait" verticalDpi="300" r:id="rId1"/>
  <headerFooter>
    <oddHeader>&amp;LUAGro-MIIDT
Insulated Concrete Form Screen-Grid Walls</oddHeader>
  </headerFooter>
  <drawing r:id="rId2"/>
  <legacyDrawing r:id="rId3"/>
  <controls>
    <mc:AlternateContent xmlns:mc="http://schemas.openxmlformats.org/markup-compatibility/2006">
      <mc:Choice Requires="x14">
        <control shapeId="7173" r:id="rId4" name="CommandButton4">
          <controlPr defaultSize="0" autoLine="0" r:id="rId5">
            <anchor moveWithCells="1">
              <from>
                <xdr:col>8</xdr:col>
                <xdr:colOff>137160</xdr:colOff>
                <xdr:row>54</xdr:row>
                <xdr:rowOff>7620</xdr:rowOff>
              </from>
              <to>
                <xdr:col>10</xdr:col>
                <xdr:colOff>30480</xdr:colOff>
                <xdr:row>55</xdr:row>
                <xdr:rowOff>121920</xdr:rowOff>
              </to>
            </anchor>
          </controlPr>
        </control>
      </mc:Choice>
      <mc:Fallback>
        <control shapeId="7173" r:id="rId4" name="CommandButton4"/>
      </mc:Fallback>
    </mc:AlternateContent>
    <mc:AlternateContent xmlns:mc="http://schemas.openxmlformats.org/markup-compatibility/2006">
      <mc:Choice Requires="x14">
        <control shapeId="7172" r:id="rId6" name="CommandButton3">
          <controlPr defaultSize="0" autoLine="0" r:id="rId7">
            <anchor moveWithCells="1">
              <from>
                <xdr:col>5</xdr:col>
                <xdr:colOff>403860</xdr:colOff>
                <xdr:row>54</xdr:row>
                <xdr:rowOff>7620</xdr:rowOff>
              </from>
              <to>
                <xdr:col>7</xdr:col>
                <xdr:colOff>304800</xdr:colOff>
                <xdr:row>55</xdr:row>
                <xdr:rowOff>121920</xdr:rowOff>
              </to>
            </anchor>
          </controlPr>
        </control>
      </mc:Choice>
      <mc:Fallback>
        <control shapeId="7172" r:id="rId6" name="CommandButton3"/>
      </mc:Fallback>
    </mc:AlternateContent>
    <mc:AlternateContent xmlns:mc="http://schemas.openxmlformats.org/markup-compatibility/2006">
      <mc:Choice Requires="x14">
        <control shapeId="7171" r:id="rId8" name="CommandButton2">
          <controlPr defaultSize="0" autoLine="0" r:id="rId9">
            <anchor moveWithCells="1">
              <from>
                <xdr:col>3</xdr:col>
                <xdr:colOff>60960</xdr:colOff>
                <xdr:row>54</xdr:row>
                <xdr:rowOff>7620</xdr:rowOff>
              </from>
              <to>
                <xdr:col>5</xdr:col>
                <xdr:colOff>45720</xdr:colOff>
                <xdr:row>55</xdr:row>
                <xdr:rowOff>121920</xdr:rowOff>
              </to>
            </anchor>
          </controlPr>
        </control>
      </mc:Choice>
      <mc:Fallback>
        <control shapeId="7171" r:id="rId8" name="CommandButton2"/>
      </mc:Fallback>
    </mc:AlternateContent>
    <mc:AlternateContent xmlns:mc="http://schemas.openxmlformats.org/markup-compatibility/2006">
      <mc:Choice Requires="x14">
        <control shapeId="7170" r:id="rId10" name="CommandButton1">
          <controlPr defaultSize="0" autoLine="0" r:id="rId11">
            <anchor moveWithCells="1">
              <from>
                <xdr:col>0</xdr:col>
                <xdr:colOff>121920</xdr:colOff>
                <xdr:row>54</xdr:row>
                <xdr:rowOff>7620</xdr:rowOff>
              </from>
              <to>
                <xdr:col>2</xdr:col>
                <xdr:colOff>213360</xdr:colOff>
                <xdr:row>55</xdr:row>
                <xdr:rowOff>121920</xdr:rowOff>
              </to>
            </anchor>
          </controlPr>
        </control>
      </mc:Choice>
      <mc:Fallback>
        <control shapeId="7170" r:id="rId10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4"/>
  </sheetPr>
  <dimension ref="A1:W96"/>
  <sheetViews>
    <sheetView showGridLines="0" topLeftCell="A57" zoomScale="60" zoomScaleNormal="60" zoomScalePageLayoutView="60" workbookViewId="0">
      <selection activeCell="H48" sqref="H48:I61"/>
    </sheetView>
  </sheetViews>
  <sheetFormatPr baseColWidth="10" defaultColWidth="9.109375" defaultRowHeight="14.4" x14ac:dyDescent="0.3"/>
  <cols>
    <col min="2" max="2" width="9.5546875" bestFit="1" customWidth="1"/>
    <col min="3" max="3" width="9.33203125" bestFit="1" customWidth="1"/>
    <col min="4" max="4" width="9.33203125" customWidth="1"/>
    <col min="5" max="5" width="9.44140625" customWidth="1"/>
    <col min="6" max="6" width="9.33203125" bestFit="1" customWidth="1"/>
    <col min="7" max="7" width="10.5546875" bestFit="1" customWidth="1"/>
    <col min="8" max="8" width="9.33203125" customWidth="1"/>
    <col min="9" max="9" width="8.5546875" customWidth="1"/>
    <col min="10" max="10" width="7.33203125" customWidth="1"/>
    <col min="11" max="11" width="9.6640625" customWidth="1"/>
    <col min="12" max="12" width="9.109375" customWidth="1"/>
    <col min="13" max="13" width="6.6640625" customWidth="1"/>
    <col min="14" max="22" width="7.33203125" customWidth="1"/>
  </cols>
  <sheetData>
    <row r="1" spans="1:22" ht="23.4" x14ac:dyDescent="0.45">
      <c r="B1" s="18"/>
      <c r="C1" s="24"/>
      <c r="D1" s="157" t="s">
        <v>35</v>
      </c>
      <c r="E1" s="158"/>
      <c r="F1" s="158"/>
      <c r="G1" s="158"/>
      <c r="H1" s="158"/>
      <c r="I1" s="18"/>
      <c r="J1" s="18"/>
      <c r="K1" s="161" t="s">
        <v>37</v>
      </c>
      <c r="L1" s="161"/>
      <c r="M1" s="161"/>
      <c r="N1" s="161"/>
      <c r="O1" s="161"/>
      <c r="P1" s="161"/>
      <c r="Q1" s="162"/>
      <c r="R1" s="162"/>
      <c r="S1" s="162"/>
    </row>
    <row r="2" spans="1:22" x14ac:dyDescent="0.3">
      <c r="A2" s="111">
        <v>1</v>
      </c>
      <c r="B2" s="22">
        <v>2</v>
      </c>
      <c r="C2" s="22">
        <v>3</v>
      </c>
      <c r="D2" s="22">
        <v>4</v>
      </c>
      <c r="E2" s="22">
        <v>5</v>
      </c>
      <c r="F2" s="22">
        <v>6</v>
      </c>
      <c r="G2" s="22">
        <v>7</v>
      </c>
      <c r="H2" s="22">
        <v>8</v>
      </c>
      <c r="I2" s="22">
        <v>9</v>
      </c>
      <c r="J2" s="22">
        <v>10</v>
      </c>
      <c r="K2" s="22">
        <v>11</v>
      </c>
      <c r="L2" s="22">
        <v>12</v>
      </c>
      <c r="M2" s="22">
        <v>13</v>
      </c>
      <c r="N2" s="22">
        <v>14</v>
      </c>
      <c r="O2" s="22">
        <f>N2+1</f>
        <v>15</v>
      </c>
      <c r="P2" s="22">
        <f t="shared" ref="P2" si="0">O2+1</f>
        <v>16</v>
      </c>
      <c r="Q2" s="22">
        <f t="shared" ref="Q2" si="1">P2+1</f>
        <v>17</v>
      </c>
      <c r="R2" s="22">
        <f t="shared" ref="R2" si="2">Q2+1</f>
        <v>18</v>
      </c>
      <c r="S2" s="22">
        <f t="shared" ref="S2" si="3">R2+1</f>
        <v>19</v>
      </c>
      <c r="T2" s="22">
        <f t="shared" ref="T2" si="4">S2+1</f>
        <v>20</v>
      </c>
      <c r="U2" s="22">
        <f t="shared" ref="U2" si="5">T2+1</f>
        <v>21</v>
      </c>
      <c r="V2" s="22"/>
    </row>
    <row r="3" spans="1:22" ht="15.6" x14ac:dyDescent="0.35">
      <c r="B3" s="18"/>
      <c r="C3" s="18"/>
      <c r="D3" s="18"/>
      <c r="E3" s="18"/>
      <c r="F3" s="18"/>
      <c r="G3" s="18"/>
      <c r="H3" s="25"/>
      <c r="I3" s="25"/>
      <c r="J3" s="25"/>
      <c r="K3" s="16" t="s">
        <v>15</v>
      </c>
      <c r="L3" s="20" t="s">
        <v>2</v>
      </c>
      <c r="M3" s="20" t="s">
        <v>3</v>
      </c>
      <c r="N3" s="20" t="s">
        <v>18</v>
      </c>
      <c r="O3" s="20" t="s">
        <v>42</v>
      </c>
      <c r="P3" s="20" t="s">
        <v>43</v>
      </c>
      <c r="Q3" s="5"/>
      <c r="R3" s="4"/>
      <c r="S3" s="4"/>
    </row>
    <row r="4" spans="1:22" x14ac:dyDescent="0.3">
      <c r="B4" s="18"/>
      <c r="C4" s="18"/>
      <c r="D4" s="18"/>
      <c r="E4" s="18"/>
      <c r="F4" s="18"/>
      <c r="G4" s="18"/>
      <c r="H4" s="18"/>
      <c r="I4" s="18"/>
      <c r="J4" s="18"/>
      <c r="K4" s="13">
        <f>IF('Data Sheet'!C6=0,0,'Data Sheet'!C6)</f>
        <v>1</v>
      </c>
      <c r="L4" s="13">
        <f>IF('Data Sheet'!D6=0,0,'Data Sheet'!D6)</f>
        <v>0.1</v>
      </c>
      <c r="M4" s="13">
        <f>IF('Data Sheet'!E6=0,0,'Data Sheet'!E6)</f>
        <v>0.1</v>
      </c>
      <c r="N4" s="13">
        <f>IF('Data Sheet'!F6=0,0,'Data Sheet'!F6)</f>
        <v>0.71</v>
      </c>
      <c r="O4" s="50">
        <v>7.0999999999999994E-2</v>
      </c>
      <c r="P4" s="50">
        <v>7.0999999999999994E-2</v>
      </c>
      <c r="Q4" s="48"/>
      <c r="R4" s="48"/>
      <c r="S4" s="48"/>
    </row>
    <row r="5" spans="1:22" x14ac:dyDescent="0.3">
      <c r="B5" s="18"/>
      <c r="C5" s="18"/>
      <c r="D5" s="18"/>
      <c r="E5" s="18"/>
      <c r="F5" s="18"/>
      <c r="G5" s="18"/>
      <c r="H5" s="18"/>
      <c r="I5" s="18"/>
      <c r="J5" s="18"/>
      <c r="K5" s="13">
        <f>IF('Data Sheet'!C7=0,0,'Data Sheet'!C7)</f>
        <v>2</v>
      </c>
      <c r="L5" s="13">
        <f>IF('Data Sheet'!D7=0,0,'Data Sheet'!D7)</f>
        <v>0.7</v>
      </c>
      <c r="M5" s="13">
        <f>IF('Data Sheet'!E7=0,0,'Data Sheet'!E7)</f>
        <v>0.1</v>
      </c>
      <c r="N5" s="13">
        <f>IF('Data Sheet'!F7=0,0,'Data Sheet'!F7)</f>
        <v>0.71</v>
      </c>
      <c r="O5" s="50">
        <v>0.49699999999999994</v>
      </c>
      <c r="P5" s="50">
        <v>7.0999999999999994E-2</v>
      </c>
      <c r="Q5" s="48"/>
      <c r="R5" s="48"/>
      <c r="S5" s="48"/>
    </row>
    <row r="6" spans="1:22" x14ac:dyDescent="0.3">
      <c r="B6" s="18"/>
      <c r="C6" s="18"/>
      <c r="D6" s="18"/>
      <c r="E6" s="18"/>
      <c r="F6" s="18"/>
      <c r="G6" s="18"/>
      <c r="H6" s="18"/>
      <c r="I6" s="18"/>
      <c r="J6" s="18"/>
      <c r="K6" s="13">
        <f>IF('Data Sheet'!C8=0,0,'Data Sheet'!C8)</f>
        <v>3</v>
      </c>
      <c r="L6" s="13">
        <f>IF('Data Sheet'!D8=0,0,'Data Sheet'!D8)</f>
        <v>1.3</v>
      </c>
      <c r="M6" s="13">
        <f>IF('Data Sheet'!E8=0,0,'Data Sheet'!E8)</f>
        <v>0.1</v>
      </c>
      <c r="N6" s="13">
        <f>IF('Data Sheet'!F8=0,0,'Data Sheet'!F8)</f>
        <v>0.71</v>
      </c>
      <c r="O6" s="50">
        <v>0.92299999999999993</v>
      </c>
      <c r="P6" s="50">
        <v>7.0999999999999994E-2</v>
      </c>
      <c r="Q6" s="48"/>
      <c r="R6" s="48"/>
      <c r="S6" s="48"/>
    </row>
    <row r="7" spans="1:22" x14ac:dyDescent="0.3">
      <c r="B7" s="18"/>
      <c r="C7" s="18"/>
      <c r="D7" s="18"/>
      <c r="E7" s="18"/>
      <c r="F7" s="18"/>
      <c r="G7" s="18"/>
      <c r="H7" s="18"/>
      <c r="I7" s="18"/>
      <c r="J7" s="18"/>
      <c r="K7" s="13">
        <f>IF('Data Sheet'!C9=0,0,'Data Sheet'!C9)</f>
        <v>4</v>
      </c>
      <c r="L7" s="13">
        <f>IF('Data Sheet'!D9=0,0,'Data Sheet'!D9)</f>
        <v>1.9</v>
      </c>
      <c r="M7" s="13">
        <f>IF('Data Sheet'!E9=0,0,'Data Sheet'!E9)</f>
        <v>0.1</v>
      </c>
      <c r="N7" s="13">
        <f>IF('Data Sheet'!F9=0,0,'Data Sheet'!F9)</f>
        <v>0.71</v>
      </c>
      <c r="O7" s="50">
        <v>1.349</v>
      </c>
      <c r="P7" s="50">
        <v>7.0999999999999994E-2</v>
      </c>
      <c r="Q7" s="48"/>
      <c r="R7" s="48"/>
      <c r="S7" s="48"/>
    </row>
    <row r="8" spans="1:22" x14ac:dyDescent="0.3">
      <c r="B8" s="18"/>
      <c r="C8" s="18"/>
      <c r="D8" s="18"/>
      <c r="E8" s="18"/>
      <c r="F8" s="18"/>
      <c r="G8" s="18"/>
      <c r="H8" s="18"/>
      <c r="I8" s="18"/>
      <c r="J8" s="18"/>
      <c r="K8" s="13">
        <f>IF('Data Sheet'!C10=0,0,'Data Sheet'!C10)</f>
        <v>5</v>
      </c>
      <c r="L8" s="13">
        <f>IF('Data Sheet'!D10=0,0,'Data Sheet'!D10)</f>
        <v>2.1</v>
      </c>
      <c r="M8" s="13">
        <f>IF('Data Sheet'!E10=0,0,'Data Sheet'!E10)</f>
        <v>0.1</v>
      </c>
      <c r="N8" s="13">
        <f>IF('Data Sheet'!F10=0,0,'Data Sheet'!F10)</f>
        <v>0.71</v>
      </c>
      <c r="O8" s="50">
        <v>1.4909999999999999</v>
      </c>
      <c r="P8" s="50">
        <v>7.0999999999999994E-2</v>
      </c>
      <c r="Q8" s="48"/>
      <c r="R8" s="48"/>
      <c r="S8" s="48"/>
    </row>
    <row r="9" spans="1:22" x14ac:dyDescent="0.3">
      <c r="B9" s="18"/>
      <c r="C9" s="18"/>
      <c r="D9" s="18"/>
      <c r="E9" s="18"/>
      <c r="F9" s="23"/>
      <c r="G9" s="26"/>
      <c r="H9" s="18"/>
      <c r="I9" s="18"/>
      <c r="J9" s="18"/>
      <c r="K9" s="13">
        <f>IF('Data Sheet'!C11=0,0,'Data Sheet'!C11)</f>
        <v>6</v>
      </c>
      <c r="L9" s="13">
        <f>IF('Data Sheet'!D11=0,0,'Data Sheet'!D11)</f>
        <v>2.1</v>
      </c>
      <c r="M9" s="13">
        <f>IF('Data Sheet'!E11=0,0,'Data Sheet'!E11)</f>
        <v>0.3</v>
      </c>
      <c r="N9" s="13">
        <f>IF('Data Sheet'!F11=0,0,'Data Sheet'!F11)</f>
        <v>0.71</v>
      </c>
      <c r="O9" s="50">
        <v>1.4909999999999999</v>
      </c>
      <c r="P9" s="50">
        <v>0.21299999999999999</v>
      </c>
      <c r="Q9" s="48"/>
      <c r="R9" s="48"/>
      <c r="S9" s="48"/>
    </row>
    <row r="10" spans="1:22" x14ac:dyDescent="0.3">
      <c r="B10" s="18"/>
      <c r="C10" s="18"/>
      <c r="D10" s="18"/>
      <c r="E10" s="18"/>
      <c r="F10" s="23"/>
      <c r="G10" s="26"/>
      <c r="H10" s="18"/>
      <c r="I10" s="18"/>
      <c r="J10" s="18"/>
      <c r="K10" s="13">
        <f>IF('Data Sheet'!C12=0,0,'Data Sheet'!C12)</f>
        <v>7</v>
      </c>
      <c r="L10" s="13">
        <f>IF('Data Sheet'!D12=0,0,'Data Sheet'!D12)</f>
        <v>2.1</v>
      </c>
      <c r="M10" s="13">
        <f>IF('Data Sheet'!E12=0,0,'Data Sheet'!E12)</f>
        <v>0.9</v>
      </c>
      <c r="N10" s="13">
        <f>IF('Data Sheet'!F12=0,0,'Data Sheet'!F12)</f>
        <v>0.71</v>
      </c>
      <c r="O10" s="50">
        <v>1.4909999999999999</v>
      </c>
      <c r="P10" s="50">
        <v>0.63900000000000001</v>
      </c>
      <c r="Q10" s="48"/>
      <c r="R10" s="48"/>
      <c r="S10" s="48"/>
    </row>
    <row r="11" spans="1:22" x14ac:dyDescent="0.3">
      <c r="B11" s="18"/>
      <c r="C11" s="18"/>
      <c r="D11" s="18"/>
      <c r="E11" s="18"/>
      <c r="F11" s="18"/>
      <c r="G11" s="18"/>
      <c r="H11" s="18"/>
      <c r="I11" s="18"/>
      <c r="J11" s="18"/>
      <c r="K11" s="13">
        <f>IF('Data Sheet'!C13=0,0,'Data Sheet'!C13)</f>
        <v>8</v>
      </c>
      <c r="L11" s="13">
        <f>IF('Data Sheet'!D13=0,0,'Data Sheet'!D13)</f>
        <v>2.1</v>
      </c>
      <c r="M11" s="13">
        <f>IF('Data Sheet'!E13=0,0,'Data Sheet'!E13)</f>
        <v>1.5</v>
      </c>
      <c r="N11" s="13">
        <f>IF('Data Sheet'!F13=0,0,'Data Sheet'!F13)</f>
        <v>0.71</v>
      </c>
      <c r="O11" s="50">
        <v>1.4909999999999999</v>
      </c>
      <c r="P11" s="50">
        <v>1.0649999999999999</v>
      </c>
      <c r="Q11" s="48"/>
      <c r="R11" s="48"/>
      <c r="S11" s="48"/>
    </row>
    <row r="12" spans="1:22" x14ac:dyDescent="0.3">
      <c r="K12" s="13">
        <f>IF('Data Sheet'!C14=0,0,'Data Sheet'!C14)</f>
        <v>9</v>
      </c>
      <c r="L12" s="13">
        <f>IF('Data Sheet'!D14=0,0,'Data Sheet'!D14)</f>
        <v>2.1</v>
      </c>
      <c r="M12" s="13">
        <f>IF('Data Sheet'!E14=0,0,'Data Sheet'!E14)</f>
        <v>2.1</v>
      </c>
      <c r="N12" s="13">
        <f>IF('Data Sheet'!F14=0,0,'Data Sheet'!F14)</f>
        <v>0.71</v>
      </c>
      <c r="O12" s="50">
        <v>1.4909999999999999</v>
      </c>
      <c r="P12" s="50">
        <v>1.4909999999999999</v>
      </c>
      <c r="Q12" s="48"/>
      <c r="R12" s="48"/>
      <c r="S12" s="48"/>
    </row>
    <row r="13" spans="1:22" x14ac:dyDescent="0.3">
      <c r="K13" s="13">
        <f>IF('Data Sheet'!C15=0,0,'Data Sheet'!C15)</f>
        <v>10</v>
      </c>
      <c r="L13" s="13">
        <f>IF('Data Sheet'!D15=0,0,'Data Sheet'!D15)</f>
        <v>2.1</v>
      </c>
      <c r="M13" s="13">
        <f>IF('Data Sheet'!E15=0,0,'Data Sheet'!E15)</f>
        <v>2.7</v>
      </c>
      <c r="N13" s="13">
        <f>IF('Data Sheet'!F15=0,0,'Data Sheet'!F15)</f>
        <v>0.71</v>
      </c>
      <c r="O13" s="50">
        <v>1.4909999999999999</v>
      </c>
      <c r="P13" s="50">
        <v>1.917</v>
      </c>
      <c r="Q13" s="48"/>
      <c r="R13" s="48"/>
      <c r="S13" s="48"/>
    </row>
    <row r="14" spans="1:22" x14ac:dyDescent="0.3">
      <c r="K14" s="13">
        <f>IF('Data Sheet'!C16=0,0,'Data Sheet'!C16)</f>
        <v>11</v>
      </c>
      <c r="L14" s="13">
        <f>IF('Data Sheet'!D16=0,0,'Data Sheet'!D16)</f>
        <v>2.1</v>
      </c>
      <c r="M14" s="13">
        <f>IF('Data Sheet'!E16=0,0,'Data Sheet'!E16)</f>
        <v>3.3</v>
      </c>
      <c r="N14" s="13">
        <f>IF('Data Sheet'!F16=0,0,'Data Sheet'!F16)</f>
        <v>0.71</v>
      </c>
      <c r="O14" s="50">
        <v>1.4909999999999999</v>
      </c>
      <c r="P14" s="50">
        <v>2.343</v>
      </c>
      <c r="Q14" s="48"/>
      <c r="R14" s="48"/>
      <c r="S14" s="48"/>
    </row>
    <row r="15" spans="1:22" x14ac:dyDescent="0.3">
      <c r="K15" s="13">
        <f>IF('Data Sheet'!C17=0,0,'Data Sheet'!C17)</f>
        <v>12</v>
      </c>
      <c r="L15" s="13">
        <f>IF('Data Sheet'!D17=0,0,'Data Sheet'!D17)</f>
        <v>2.1</v>
      </c>
      <c r="M15" s="13">
        <f>IF('Data Sheet'!E17=0,0,'Data Sheet'!E17)</f>
        <v>3.9</v>
      </c>
      <c r="N15" s="13">
        <f>IF('Data Sheet'!F17=0,0,'Data Sheet'!F17)</f>
        <v>0.71</v>
      </c>
      <c r="O15" s="50">
        <v>1.4909999999999999</v>
      </c>
      <c r="P15" s="50">
        <v>2.7689999999999997</v>
      </c>
      <c r="Q15" s="47"/>
      <c r="R15" s="47"/>
      <c r="S15" s="47"/>
    </row>
    <row r="16" spans="1:22" x14ac:dyDescent="0.3">
      <c r="K16" s="13">
        <f>IF('Data Sheet'!C18=0,0,'Data Sheet'!C18)</f>
        <v>13</v>
      </c>
      <c r="L16" s="13">
        <f>IF('Data Sheet'!D18=0,0,'Data Sheet'!D18)</f>
        <v>2.1</v>
      </c>
      <c r="M16" s="13">
        <f>IF('Data Sheet'!E18=0,0,'Data Sheet'!E18)</f>
        <v>4.5</v>
      </c>
      <c r="N16" s="13">
        <f>IF('Data Sheet'!F18=0,0,'Data Sheet'!F18)</f>
        <v>0.71</v>
      </c>
      <c r="O16" s="50">
        <v>1.4909999999999999</v>
      </c>
      <c r="P16" s="50">
        <v>3.1949999999999998</v>
      </c>
      <c r="Q16" s="47"/>
      <c r="R16" s="47"/>
      <c r="S16" s="47"/>
    </row>
    <row r="17" spans="1:19" x14ac:dyDescent="0.3">
      <c r="K17" s="13">
        <f>IF('Data Sheet'!C19=0,0,'Data Sheet'!C19)</f>
        <v>14</v>
      </c>
      <c r="L17" s="13">
        <f>IF('Data Sheet'!D19=0,0,'Data Sheet'!D19)</f>
        <v>2.1</v>
      </c>
      <c r="M17" s="13">
        <f>IF('Data Sheet'!E19=0,0,'Data Sheet'!E19)</f>
        <v>4.7</v>
      </c>
      <c r="N17" s="13">
        <f>IF('Data Sheet'!F19=0,0,'Data Sheet'!F19)</f>
        <v>0.71</v>
      </c>
      <c r="O17" s="50">
        <v>1.4909999999999999</v>
      </c>
      <c r="P17" s="50">
        <v>3.3369999999999997</v>
      </c>
      <c r="Q17" s="47"/>
      <c r="R17" s="47"/>
      <c r="S17" s="47"/>
    </row>
    <row r="18" spans="1:19" x14ac:dyDescent="0.3">
      <c r="K18" s="13">
        <f>IF('Data Sheet'!C20=0,0,'Data Sheet'!C20)</f>
        <v>15</v>
      </c>
      <c r="L18" s="13">
        <f>IF('Data Sheet'!D20=0,0,'Data Sheet'!D20)</f>
        <v>1.9</v>
      </c>
      <c r="M18" s="13">
        <f>IF('Data Sheet'!E20=0,0,'Data Sheet'!E20)</f>
        <v>4.7</v>
      </c>
      <c r="N18" s="13">
        <f>IF('Data Sheet'!F20=0,0,'Data Sheet'!F20)</f>
        <v>0.71</v>
      </c>
      <c r="O18" s="50">
        <v>1.349</v>
      </c>
      <c r="P18" s="50">
        <v>3.3369999999999997</v>
      </c>
      <c r="Q18" s="47"/>
      <c r="R18" s="47"/>
      <c r="S18" s="47"/>
    </row>
    <row r="19" spans="1:19" x14ac:dyDescent="0.3">
      <c r="K19" s="13">
        <f>IF('Data Sheet'!C21=0,0,'Data Sheet'!C21)</f>
        <v>16</v>
      </c>
      <c r="L19" s="13">
        <f>IF('Data Sheet'!D21=0,0,'Data Sheet'!D21)</f>
        <v>2.1</v>
      </c>
      <c r="M19" s="13">
        <f>IF('Data Sheet'!E21=0,0,'Data Sheet'!E21)</f>
        <v>4.9000000000000004</v>
      </c>
      <c r="N19" s="13">
        <f>IF('Data Sheet'!F21=0,0,'Data Sheet'!F21)</f>
        <v>0.71</v>
      </c>
      <c r="O19" s="50">
        <v>1.4909999999999999</v>
      </c>
      <c r="P19" s="50">
        <v>3.4790000000000001</v>
      </c>
      <c r="Q19" s="47"/>
      <c r="R19" s="47"/>
      <c r="S19" s="47"/>
    </row>
    <row r="20" spans="1:19" x14ac:dyDescent="0.3">
      <c r="K20" s="13">
        <f>IF('Data Sheet'!C22=0,0,'Data Sheet'!C22)</f>
        <v>17</v>
      </c>
      <c r="L20" s="13">
        <f>IF('Data Sheet'!D22=0,0,'Data Sheet'!D22)</f>
        <v>2.1</v>
      </c>
      <c r="M20" s="13">
        <f>IF('Data Sheet'!E22=0,0,'Data Sheet'!E22)</f>
        <v>4.5</v>
      </c>
      <c r="N20" s="13">
        <f>IF('Data Sheet'!F22=0,0,'Data Sheet'!F22)</f>
        <v>0.71</v>
      </c>
      <c r="O20" s="50">
        <v>1.4909999999999999</v>
      </c>
      <c r="P20" s="50">
        <v>3.1949999999999998</v>
      </c>
      <c r="Q20" s="47"/>
      <c r="R20" s="47"/>
      <c r="S20" s="47"/>
    </row>
    <row r="21" spans="1:19" x14ac:dyDescent="0.3">
      <c r="K21" s="13">
        <f>IF('Data Sheet'!C23=0,0,'Data Sheet'!C23)</f>
        <v>18</v>
      </c>
      <c r="L21" s="13">
        <f>IF('Data Sheet'!D23=0,0,'Data Sheet'!D23)</f>
        <v>2.1</v>
      </c>
      <c r="M21" s="13">
        <f>IF('Data Sheet'!E23=0,0,'Data Sheet'!E23)</f>
        <v>6.1</v>
      </c>
      <c r="N21" s="13">
        <f>IF('Data Sheet'!F23=0,0,'Data Sheet'!F23)</f>
        <v>0.71</v>
      </c>
      <c r="O21" s="50">
        <v>1.4909999999999999</v>
      </c>
      <c r="P21" s="50">
        <v>4.3309999999999995</v>
      </c>
      <c r="Q21" s="47"/>
      <c r="R21" s="47"/>
      <c r="S21" s="47"/>
    </row>
    <row r="22" spans="1:19" x14ac:dyDescent="0.3">
      <c r="K22" s="13">
        <f>IF('Data Sheet'!C24=0,0,'Data Sheet'!C24)</f>
        <v>19</v>
      </c>
      <c r="L22" s="13">
        <f>IF('Data Sheet'!D24=0,0,'Data Sheet'!D24)</f>
        <v>2.1</v>
      </c>
      <c r="M22" s="13">
        <f>IF('Data Sheet'!E24=0,0,'Data Sheet'!E24)</f>
        <v>6.7</v>
      </c>
      <c r="N22" s="13">
        <f>IF('Data Sheet'!F24=0,0,'Data Sheet'!F24)</f>
        <v>0.71</v>
      </c>
      <c r="O22" s="50">
        <v>1.4909999999999999</v>
      </c>
      <c r="P22" s="50">
        <v>4.7569999999999997</v>
      </c>
      <c r="Q22" s="47"/>
      <c r="R22" s="47"/>
      <c r="S22" s="47"/>
    </row>
    <row r="23" spans="1:19" x14ac:dyDescent="0.3">
      <c r="B23" s="45" t="s">
        <v>33</v>
      </c>
      <c r="E23" s="147" t="s">
        <v>29</v>
      </c>
      <c r="F23" s="148"/>
      <c r="G23" s="148"/>
      <c r="H23" s="148"/>
      <c r="K23" s="13">
        <f>IF('Data Sheet'!C25=0,0,'Data Sheet'!C25)</f>
        <v>20</v>
      </c>
      <c r="L23" s="13">
        <f>IF('Data Sheet'!D25=0,0,'Data Sheet'!D25)</f>
        <v>2.1</v>
      </c>
      <c r="M23" s="13">
        <f>IF('Data Sheet'!E25=0,0,'Data Sheet'!E25)</f>
        <v>7.3</v>
      </c>
      <c r="N23" s="13">
        <f>IF('Data Sheet'!F25=0,0,'Data Sheet'!F25)</f>
        <v>0.71</v>
      </c>
      <c r="O23" s="50">
        <v>1.4909999999999999</v>
      </c>
      <c r="P23" s="50">
        <v>5.1829999999999998</v>
      </c>
      <c r="Q23" s="47"/>
      <c r="R23" s="47"/>
      <c r="S23" s="47"/>
    </row>
    <row r="24" spans="1:19" ht="15.6" x14ac:dyDescent="0.35">
      <c r="B24" s="19" t="s">
        <v>17</v>
      </c>
      <c r="C24" s="13">
        <v>3.0000000000000001E-3</v>
      </c>
      <c r="E24" s="160" t="s">
        <v>57</v>
      </c>
      <c r="F24" s="160"/>
      <c r="G24" s="160"/>
      <c r="H24" s="160"/>
      <c r="I24" s="151"/>
      <c r="J24" s="15">
        <f>'Data Sheet'!F38</f>
        <v>19.2</v>
      </c>
      <c r="K24" s="13">
        <f>IF('Data Sheet'!C26=0,0,'Data Sheet'!C26)</f>
        <v>21</v>
      </c>
      <c r="L24" s="13">
        <f>IF('Data Sheet'!D26=0,0,'Data Sheet'!D26)</f>
        <v>2.1</v>
      </c>
      <c r="M24" s="13">
        <f>IF('Data Sheet'!E26=0,0,'Data Sheet'!E26)</f>
        <v>7.5</v>
      </c>
      <c r="N24" s="13">
        <f>IF('Data Sheet'!F26=0,0,'Data Sheet'!F26)</f>
        <v>0.71</v>
      </c>
      <c r="O24" s="50">
        <v>1.4909999999999999</v>
      </c>
      <c r="P24" s="50">
        <v>5.3249999999999993</v>
      </c>
      <c r="Q24" s="47"/>
      <c r="R24" s="47"/>
      <c r="S24" s="47"/>
    </row>
    <row r="25" spans="1:19" x14ac:dyDescent="0.3">
      <c r="B25" s="29"/>
      <c r="C25" s="27"/>
      <c r="E25" s="151" t="s">
        <v>31</v>
      </c>
      <c r="F25" s="152"/>
      <c r="G25" s="152"/>
      <c r="H25" s="152"/>
      <c r="I25" s="152"/>
      <c r="J25" s="15">
        <f>'Data Sheet'!F39</f>
        <v>412</v>
      </c>
      <c r="K25" s="13">
        <f>IF('Data Sheet'!C27=0,0,'Data Sheet'!C27)</f>
        <v>22</v>
      </c>
      <c r="L25" s="13">
        <f>IF('Data Sheet'!D27=0,0,'Data Sheet'!D27)</f>
        <v>2.1</v>
      </c>
      <c r="M25" s="13">
        <f>IF('Data Sheet'!E27=0,0,'Data Sheet'!E27)</f>
        <v>7.7</v>
      </c>
      <c r="N25" s="13">
        <f>IF('Data Sheet'!F27=0,0,'Data Sheet'!F27)</f>
        <v>0.71</v>
      </c>
      <c r="O25" s="50">
        <v>1.4909999999999999</v>
      </c>
      <c r="P25" s="50">
        <v>5.4669999999999996</v>
      </c>
      <c r="Q25" s="47"/>
      <c r="R25" s="47"/>
      <c r="S25" s="47"/>
    </row>
    <row r="26" spans="1:19" x14ac:dyDescent="0.3">
      <c r="B26" s="17"/>
      <c r="C26" s="22"/>
      <c r="K26" s="13">
        <f>IF('Data Sheet'!C28=0,0,'Data Sheet'!C28)</f>
        <v>23</v>
      </c>
      <c r="L26" s="13">
        <f>IF('Data Sheet'!D28=0,0,'Data Sheet'!D28)</f>
        <v>2.2999999999999998</v>
      </c>
      <c r="M26" s="13">
        <f>IF('Data Sheet'!E28=0,0,'Data Sheet'!E28)</f>
        <v>7.7</v>
      </c>
      <c r="N26" s="13">
        <f>IF('Data Sheet'!F28=0,0,'Data Sheet'!F28)</f>
        <v>0.71</v>
      </c>
      <c r="O26" s="50">
        <v>1.6329999999999998</v>
      </c>
      <c r="P26" s="50">
        <v>5.4669999999999996</v>
      </c>
      <c r="Q26" s="47"/>
      <c r="R26" s="47"/>
      <c r="S26" s="47"/>
    </row>
    <row r="27" spans="1:19" x14ac:dyDescent="0.3">
      <c r="B27" s="41" t="s">
        <v>0</v>
      </c>
      <c r="C27" s="42">
        <v>7.75</v>
      </c>
      <c r="E27" s="149" t="s">
        <v>34</v>
      </c>
      <c r="F27" s="149"/>
      <c r="G27" s="149"/>
      <c r="K27" s="13">
        <f>IF('Data Sheet'!C29=0,0,'Data Sheet'!C29)</f>
        <v>24</v>
      </c>
      <c r="L27" s="13">
        <f>IF('Data Sheet'!D29=0,0,'Data Sheet'!D29)</f>
        <v>2.7</v>
      </c>
      <c r="M27" s="13">
        <f>IF('Data Sheet'!E29=0,0,'Data Sheet'!E29)</f>
        <v>7.7</v>
      </c>
      <c r="N27" s="13">
        <f>IF('Data Sheet'!F29=0,0,'Data Sheet'!F29)</f>
        <v>0.71</v>
      </c>
      <c r="O27" s="50">
        <v>1.917</v>
      </c>
      <c r="P27" s="50">
        <v>5.4669999999999996</v>
      </c>
      <c r="Q27" s="47"/>
      <c r="R27" s="47"/>
      <c r="S27" s="47"/>
    </row>
    <row r="28" spans="1:19" ht="15.6" x14ac:dyDescent="0.35">
      <c r="B28" s="41" t="s">
        <v>1</v>
      </c>
      <c r="C28" s="42">
        <v>0.15196078431372551</v>
      </c>
      <c r="E28" s="53" t="s">
        <v>24</v>
      </c>
      <c r="F28" s="56" t="s">
        <v>19</v>
      </c>
      <c r="G28" s="53" t="s">
        <v>5</v>
      </c>
      <c r="H28" s="53" t="s">
        <v>4</v>
      </c>
      <c r="K28" s="13">
        <f>IF('Data Sheet'!C30=0,0,'Data Sheet'!C30)</f>
        <v>25</v>
      </c>
      <c r="L28" s="13">
        <f>IF('Data Sheet'!D30=0,0,'Data Sheet'!D30)</f>
        <v>3.5</v>
      </c>
      <c r="M28" s="13">
        <f>IF('Data Sheet'!E30=0,0,'Data Sheet'!E30)</f>
        <v>7.7</v>
      </c>
      <c r="N28" s="13">
        <f>IF('Data Sheet'!F30=0,0,'Data Sheet'!F30)</f>
        <v>0.71</v>
      </c>
      <c r="O28" s="50">
        <v>2.4849999999999999</v>
      </c>
      <c r="P28" s="50">
        <v>5.4669999999999996</v>
      </c>
      <c r="Q28" s="47"/>
      <c r="R28" s="47"/>
      <c r="S28" s="47"/>
    </row>
    <row r="29" spans="1:19" x14ac:dyDescent="0.3">
      <c r="B29" s="41" t="s">
        <v>6</v>
      </c>
      <c r="C29" s="42">
        <v>0.12916666666666668</v>
      </c>
      <c r="E29" s="13">
        <v>1</v>
      </c>
      <c r="F29" s="44"/>
      <c r="G29" s="42">
        <v>0</v>
      </c>
      <c r="H29" s="42">
        <v>11286.303520000001</v>
      </c>
      <c r="K29" s="13">
        <f>IF('Data Sheet'!C31=0,0,'Data Sheet'!C31)</f>
        <v>26</v>
      </c>
      <c r="L29" s="13">
        <f>IF('Data Sheet'!D31=0,0,'Data Sheet'!D31)</f>
        <v>4.0999999999999996</v>
      </c>
      <c r="M29" s="13">
        <f>IF('Data Sheet'!E31=0,0,'Data Sheet'!E31)</f>
        <v>7.7</v>
      </c>
      <c r="N29" s="13">
        <f>IF('Data Sheet'!F31=0,0,'Data Sheet'!F31)</f>
        <v>0.71</v>
      </c>
      <c r="O29" s="50">
        <v>2.9109999999999996</v>
      </c>
      <c r="P29" s="50">
        <v>5.4669999999999996</v>
      </c>
      <c r="Q29" s="47"/>
      <c r="R29" s="47"/>
      <c r="S29" s="47"/>
    </row>
    <row r="30" spans="1:19" x14ac:dyDescent="0.3">
      <c r="E30" s="13">
        <f>E29+1</f>
        <v>2</v>
      </c>
      <c r="F30" s="39">
        <f>'Data Sheet'!I39</f>
        <v>0</v>
      </c>
      <c r="G30" s="42">
        <v>6684.7581821760841</v>
      </c>
      <c r="H30" s="42">
        <v>9741.9925345622069</v>
      </c>
      <c r="J30" s="7"/>
      <c r="K30" s="13">
        <f>IF('Data Sheet'!C32=0,0,'Data Sheet'!C32)</f>
        <v>27</v>
      </c>
      <c r="L30" s="13">
        <f>IF('Data Sheet'!D32=0,0,'Data Sheet'!D32)</f>
        <v>4.7</v>
      </c>
      <c r="M30" s="13">
        <f>IF('Data Sheet'!E32=0,0,'Data Sheet'!E32)</f>
        <v>7.7</v>
      </c>
      <c r="N30" s="13">
        <f>IF('Data Sheet'!F32=0,0,'Data Sheet'!F32)</f>
        <v>0.71</v>
      </c>
      <c r="O30" s="50">
        <v>3.3369999999999997</v>
      </c>
      <c r="P30" s="50">
        <v>5.4669999999999996</v>
      </c>
      <c r="Q30" s="47"/>
      <c r="R30" s="47"/>
      <c r="S30" s="47"/>
    </row>
    <row r="31" spans="1:19" x14ac:dyDescent="0.3">
      <c r="E31" s="13">
        <f t="shared" ref="E31:E43" si="6">E30+1</f>
        <v>3</v>
      </c>
      <c r="F31" s="39">
        <f>'Data Sheet'!I40</f>
        <v>5.0000000000000001E-4</v>
      </c>
      <c r="G31" s="42">
        <v>7841.0855460974872</v>
      </c>
      <c r="H31" s="42">
        <v>9369.5686451612855</v>
      </c>
      <c r="J31" s="7"/>
      <c r="K31" s="13">
        <f>IF('Data Sheet'!C33=0,0,'Data Sheet'!C33)</f>
        <v>28</v>
      </c>
      <c r="L31" s="13">
        <f>IF('Data Sheet'!D33=0,0,'Data Sheet'!D33)</f>
        <v>5.3</v>
      </c>
      <c r="M31" s="13">
        <f>IF('Data Sheet'!E33=0,0,'Data Sheet'!E33)</f>
        <v>7.7</v>
      </c>
      <c r="N31" s="13">
        <f>IF('Data Sheet'!F33=0,0,'Data Sheet'!F33)</f>
        <v>0.71</v>
      </c>
      <c r="O31" s="50">
        <v>3.7629999999999999</v>
      </c>
      <c r="P31" s="50">
        <v>5.4669999999999996</v>
      </c>
      <c r="Q31" s="1"/>
      <c r="R31" s="3"/>
      <c r="S31" s="2"/>
    </row>
    <row r="32" spans="1:19" x14ac:dyDescent="0.3">
      <c r="A32" s="7"/>
      <c r="E32" s="13">
        <f t="shared" si="6"/>
        <v>4</v>
      </c>
      <c r="F32" s="39">
        <f>'Data Sheet'!I41</f>
        <v>1E-3</v>
      </c>
      <c r="G32" s="42">
        <v>8764.3037233981868</v>
      </c>
      <c r="H32" s="42">
        <v>8996.4122887864796</v>
      </c>
      <c r="I32" s="34"/>
      <c r="J32" s="33"/>
      <c r="K32" s="13">
        <f>IF('Data Sheet'!C34=0,0,'Data Sheet'!C34)</f>
        <v>29</v>
      </c>
      <c r="L32" s="13">
        <f>IF('Data Sheet'!D34=0,0,'Data Sheet'!D34)</f>
        <v>5.9</v>
      </c>
      <c r="M32" s="13">
        <f>IF('Data Sheet'!E34=0,0,'Data Sheet'!E34)</f>
        <v>7.7</v>
      </c>
      <c r="N32" s="13">
        <f>IF('Data Sheet'!F34=0,0,'Data Sheet'!F34)</f>
        <v>0.71</v>
      </c>
      <c r="O32" s="50">
        <v>4.1890000000000001</v>
      </c>
      <c r="P32" s="50">
        <v>5.4669999999999996</v>
      </c>
      <c r="Q32" s="1"/>
      <c r="R32" s="3"/>
      <c r="S32" s="2"/>
    </row>
    <row r="33" spans="1:19" x14ac:dyDescent="0.3">
      <c r="A33" s="7"/>
      <c r="B33" s="29"/>
      <c r="C33" s="35"/>
      <c r="D33" s="7"/>
      <c r="E33" s="13">
        <f t="shared" si="6"/>
        <v>5</v>
      </c>
      <c r="F33" s="39">
        <f>'Data Sheet'!I42</f>
        <v>1.5E-3</v>
      </c>
      <c r="G33" s="42">
        <v>9366.9542229790113</v>
      </c>
      <c r="H33" s="42">
        <v>8697.3198709677399</v>
      </c>
      <c r="I33" s="34"/>
      <c r="J33" s="33"/>
      <c r="K33" s="13">
        <f>IF('Data Sheet'!C35=0,0,'Data Sheet'!C35)</f>
        <v>30</v>
      </c>
      <c r="L33" s="13">
        <f>IF('Data Sheet'!D35=0,0,'Data Sheet'!D35)</f>
        <v>6.5</v>
      </c>
      <c r="M33" s="13">
        <f>IF('Data Sheet'!E35=0,0,'Data Sheet'!E35)</f>
        <v>7.7</v>
      </c>
      <c r="N33" s="13">
        <f>IF('Data Sheet'!F35=0,0,'Data Sheet'!F35)</f>
        <v>0.71</v>
      </c>
      <c r="O33" s="50">
        <v>4.6150000000000002</v>
      </c>
      <c r="P33" s="50">
        <v>5.4669999999999996</v>
      </c>
      <c r="Q33" s="1"/>
      <c r="R33" s="3"/>
      <c r="S33" s="2"/>
    </row>
    <row r="34" spans="1:19" x14ac:dyDescent="0.3">
      <c r="A34" s="7"/>
      <c r="B34" s="29"/>
      <c r="C34" s="10"/>
      <c r="D34" s="7"/>
      <c r="E34" s="13">
        <f t="shared" si="6"/>
        <v>6</v>
      </c>
      <c r="F34" s="39">
        <f>'Data Sheet'!I43</f>
        <v>2.0999999999999999E-3</v>
      </c>
      <c r="G34" s="42">
        <v>11376.630046220434</v>
      </c>
      <c r="H34" s="42">
        <v>7324.4161585253423</v>
      </c>
      <c r="I34" s="7"/>
      <c r="J34" s="33"/>
      <c r="K34" s="13">
        <f>+IF('Data Sheet'!G6=0,0,'Data Sheet'!G6)</f>
        <v>31</v>
      </c>
      <c r="L34" s="13">
        <f>+IF('Data Sheet'!H6=0,0,'Data Sheet'!H6)</f>
        <v>6.7</v>
      </c>
      <c r="M34" s="13">
        <f>+IF('Data Sheet'!I6=0,0,'Data Sheet'!I6)</f>
        <v>7.7</v>
      </c>
      <c r="N34" s="13">
        <f>+IF('Data Sheet'!J6=0,0,'Data Sheet'!J6)</f>
        <v>0.71</v>
      </c>
      <c r="O34" s="50">
        <v>4.7569999999999997</v>
      </c>
      <c r="P34" s="50">
        <v>5.4669999999999996</v>
      </c>
      <c r="Q34" s="1"/>
      <c r="R34" s="3"/>
      <c r="S34" s="2"/>
    </row>
    <row r="35" spans="1:19" x14ac:dyDescent="0.3">
      <c r="A35" s="7"/>
      <c r="B35" s="31"/>
      <c r="C35" s="32"/>
      <c r="D35" s="7"/>
      <c r="E35" s="13">
        <f t="shared" si="6"/>
        <v>7</v>
      </c>
      <c r="F35" s="39">
        <f>'Data Sheet'!I44</f>
        <v>3.0000000000000001E-3</v>
      </c>
      <c r="G35" s="42">
        <v>11903.944854106478</v>
      </c>
      <c r="H35" s="42">
        <v>6873.9799262672786</v>
      </c>
      <c r="I35" s="7"/>
      <c r="J35" s="33"/>
      <c r="K35" s="13">
        <f>+IF('Data Sheet'!G7=0,0,'Data Sheet'!G7)</f>
        <v>32</v>
      </c>
      <c r="L35" s="13">
        <f>+IF('Data Sheet'!H7=0,0,'Data Sheet'!H7)</f>
        <v>6.9</v>
      </c>
      <c r="M35" s="13">
        <f>+IF('Data Sheet'!I7=0,0,'Data Sheet'!I7)</f>
        <v>7.7</v>
      </c>
      <c r="N35" s="13">
        <f>+IF('Data Sheet'!J7=0,0,'Data Sheet'!J7)</f>
        <v>0.71</v>
      </c>
      <c r="O35" s="50">
        <v>4.899</v>
      </c>
      <c r="P35" s="50">
        <v>5.4669999999999996</v>
      </c>
      <c r="Q35" s="1"/>
      <c r="R35" s="3"/>
      <c r="S35" s="2"/>
    </row>
    <row r="36" spans="1:19" x14ac:dyDescent="0.3">
      <c r="A36" s="7"/>
      <c r="B36" s="31"/>
      <c r="C36" s="32"/>
      <c r="D36" s="7"/>
      <c r="E36" s="13">
        <f t="shared" si="6"/>
        <v>8</v>
      </c>
      <c r="F36" s="39">
        <f>'Data Sheet'!K39</f>
        <v>3.5000000000000001E-3</v>
      </c>
      <c r="G36" s="42">
        <v>12313.314204051609</v>
      </c>
      <c r="H36" s="42">
        <v>6133.8282079640785</v>
      </c>
      <c r="I36" s="7"/>
      <c r="J36" s="33"/>
      <c r="K36" s="13">
        <f>+IF('Data Sheet'!G8=0,0,'Data Sheet'!G8)</f>
        <v>33</v>
      </c>
      <c r="L36" s="13">
        <f>+IF('Data Sheet'!H8=0,0,'Data Sheet'!H8)</f>
        <v>7.5</v>
      </c>
      <c r="M36" s="13">
        <f>+IF('Data Sheet'!I8=0,0,'Data Sheet'!I8)</f>
        <v>7.7</v>
      </c>
      <c r="N36" s="13">
        <f>+IF('Data Sheet'!J8=0,0,'Data Sheet'!J8)</f>
        <v>0.71</v>
      </c>
      <c r="O36" s="50">
        <v>5.3249999999999993</v>
      </c>
      <c r="P36" s="50">
        <v>5.4669999999999996</v>
      </c>
      <c r="Q36" s="1"/>
      <c r="R36" s="3"/>
      <c r="S36" s="2"/>
    </row>
    <row r="37" spans="1:19" x14ac:dyDescent="0.3">
      <c r="A37" s="7"/>
      <c r="B37" s="31"/>
      <c r="C37" s="32"/>
      <c r="D37" s="7"/>
      <c r="E37" s="13">
        <f t="shared" si="6"/>
        <v>9</v>
      </c>
      <c r="F37" s="39">
        <f>'Data Sheet'!K40</f>
        <v>5.0000000000000001E-3</v>
      </c>
      <c r="G37" s="42">
        <v>12534.24812142683</v>
      </c>
      <c r="H37" s="42">
        <v>5381.8319231950845</v>
      </c>
      <c r="I37" s="7"/>
      <c r="J37" s="33"/>
      <c r="K37" s="13">
        <f>+IF('Data Sheet'!G9=0,0,'Data Sheet'!G9)</f>
        <v>34</v>
      </c>
      <c r="L37" s="13">
        <f>+IF('Data Sheet'!H9=0,0,'Data Sheet'!H9)</f>
        <v>8.1</v>
      </c>
      <c r="M37" s="13">
        <f>+IF('Data Sheet'!I9=0,0,'Data Sheet'!I9)</f>
        <v>7.7</v>
      </c>
      <c r="N37" s="13">
        <f>+IF('Data Sheet'!J9=0,0,'Data Sheet'!J9)</f>
        <v>0.71</v>
      </c>
      <c r="O37" s="50">
        <v>5.7509999999999994</v>
      </c>
      <c r="P37" s="50">
        <v>5.4669999999999996</v>
      </c>
      <c r="Q37" s="1"/>
      <c r="R37" s="3"/>
      <c r="S37" s="2"/>
    </row>
    <row r="38" spans="1:19" x14ac:dyDescent="0.3">
      <c r="A38" s="7"/>
      <c r="B38" s="7"/>
      <c r="C38" s="7"/>
      <c r="D38" s="7"/>
      <c r="E38" s="13">
        <f t="shared" si="6"/>
        <v>10</v>
      </c>
      <c r="F38" s="39">
        <f>'Data Sheet'!K41</f>
        <v>8.0000000000000002E-3</v>
      </c>
      <c r="G38" s="42">
        <v>11727.293591876913</v>
      </c>
      <c r="H38" s="42">
        <v>3436.9934132104472</v>
      </c>
      <c r="I38" s="7"/>
      <c r="J38" s="33"/>
      <c r="K38" s="13">
        <f>+IF('Data Sheet'!G10=0,0,'Data Sheet'!G10)</f>
        <v>35</v>
      </c>
      <c r="L38" s="13">
        <f>+IF('Data Sheet'!H10=0,0,'Data Sheet'!H10)</f>
        <v>8.5</v>
      </c>
      <c r="M38" s="13">
        <f>+IF('Data Sheet'!I10=0,0,'Data Sheet'!I10)</f>
        <v>7.7</v>
      </c>
      <c r="N38" s="13">
        <f>+IF('Data Sheet'!J10=0,0,'Data Sheet'!J10)</f>
        <v>0.71</v>
      </c>
      <c r="O38" s="50">
        <v>6.0350000000000001</v>
      </c>
      <c r="P38" s="50">
        <v>5.4669999999999996</v>
      </c>
      <c r="Q38" s="1"/>
      <c r="R38" s="3"/>
      <c r="S38" s="2"/>
    </row>
    <row r="39" spans="1:19" x14ac:dyDescent="0.3">
      <c r="E39" s="13">
        <f t="shared" si="6"/>
        <v>11</v>
      </c>
      <c r="F39" s="39">
        <f>'Data Sheet'!K42</f>
        <v>0.01</v>
      </c>
      <c r="G39" s="42">
        <v>11513.027142346851</v>
      </c>
      <c r="H39" s="42">
        <v>3121.7247741935498</v>
      </c>
      <c r="J39" s="33"/>
      <c r="K39" s="13">
        <f>+IF('Data Sheet'!G11=0,0,'Data Sheet'!G11)</f>
        <v>36</v>
      </c>
      <c r="L39" s="13">
        <f>+IF('Data Sheet'!H11=0,0,'Data Sheet'!H11)</f>
        <v>8.6999999999999993</v>
      </c>
      <c r="M39" s="13">
        <f>+IF('Data Sheet'!I11=0,0,'Data Sheet'!I11)</f>
        <v>7.7</v>
      </c>
      <c r="N39" s="13">
        <f>+IF('Data Sheet'!J11=0,0,'Data Sheet'!J11)</f>
        <v>0.71</v>
      </c>
      <c r="O39" s="50">
        <v>6.1769999999999996</v>
      </c>
      <c r="P39" s="50">
        <v>5.4669999999999996</v>
      </c>
      <c r="Q39" s="1"/>
      <c r="R39" s="3"/>
      <c r="S39" s="2"/>
    </row>
    <row r="40" spans="1:19" x14ac:dyDescent="0.3">
      <c r="E40" s="13">
        <f t="shared" si="6"/>
        <v>12</v>
      </c>
      <c r="F40" s="39">
        <f>'Data Sheet'!K43</f>
        <v>0.05</v>
      </c>
      <c r="G40" s="42">
        <v>9805.2135992918393</v>
      </c>
      <c r="H40" s="42">
        <v>2025.1983348694328</v>
      </c>
      <c r="J40" s="33"/>
      <c r="K40" s="13">
        <f>+IF('Data Sheet'!G12=0,0,'Data Sheet'!G12)</f>
        <v>37</v>
      </c>
      <c r="L40" s="13">
        <f>+IF('Data Sheet'!H12=0,0,'Data Sheet'!H12)</f>
        <v>6.7</v>
      </c>
      <c r="M40" s="13">
        <f>+IF('Data Sheet'!I12=0,0,'Data Sheet'!I12)</f>
        <v>7.5</v>
      </c>
      <c r="N40" s="13">
        <f>+IF('Data Sheet'!J12=0,0,'Data Sheet'!J12)</f>
        <v>0.71</v>
      </c>
      <c r="O40" s="50">
        <v>4.7569999999999997</v>
      </c>
      <c r="P40" s="50">
        <v>5.3249999999999993</v>
      </c>
      <c r="Q40" s="1"/>
      <c r="R40" s="3"/>
      <c r="S40" s="2"/>
    </row>
    <row r="41" spans="1:19" x14ac:dyDescent="0.3">
      <c r="E41" s="13">
        <f t="shared" si="6"/>
        <v>13</v>
      </c>
      <c r="F41" s="39">
        <f>'Data Sheet'!K44</f>
        <v>0.1</v>
      </c>
      <c r="G41" s="42">
        <v>8826.537056002504</v>
      </c>
      <c r="H41" s="42">
        <v>1620.4092104454694</v>
      </c>
      <c r="J41" s="33"/>
      <c r="K41" s="13">
        <f>+IF('Data Sheet'!G13=0,0,'Data Sheet'!G13)</f>
        <v>38</v>
      </c>
      <c r="L41" s="13">
        <f>+IF('Data Sheet'!H13=0,0,'Data Sheet'!H13)</f>
        <v>6.7</v>
      </c>
      <c r="M41" s="13">
        <f>+IF('Data Sheet'!I13=0,0,'Data Sheet'!I13)</f>
        <v>7.1</v>
      </c>
      <c r="N41" s="13">
        <f>+IF('Data Sheet'!J13=0,0,'Data Sheet'!J13)</f>
        <v>0.71</v>
      </c>
      <c r="O41" s="50">
        <v>4.7569999999999997</v>
      </c>
      <c r="P41" s="50">
        <v>5.0409999999999995</v>
      </c>
      <c r="Q41" s="1"/>
      <c r="R41" s="3"/>
      <c r="S41" s="2"/>
    </row>
    <row r="42" spans="1:19" x14ac:dyDescent="0.3">
      <c r="E42" s="13">
        <f t="shared" si="6"/>
        <v>14</v>
      </c>
      <c r="F42" s="39">
        <f>'Data Sheet'!K45</f>
        <v>0.15</v>
      </c>
      <c r="G42" s="42">
        <v>8668.8120449894668</v>
      </c>
      <c r="H42" s="42">
        <v>1557.2770138248882</v>
      </c>
      <c r="J42" s="33"/>
      <c r="K42" s="13">
        <f>+IF('Data Sheet'!G14=0,0,'Data Sheet'!G14)</f>
        <v>39</v>
      </c>
      <c r="L42" s="13">
        <f>+IF('Data Sheet'!H14=0,0,'Data Sheet'!H14)</f>
        <v>6.7</v>
      </c>
      <c r="M42" s="13">
        <f>+IF('Data Sheet'!I14=0,0,'Data Sheet'!I14)</f>
        <v>6.5</v>
      </c>
      <c r="N42" s="13">
        <f>+IF('Data Sheet'!J14=0,0,'Data Sheet'!J14)</f>
        <v>0.71</v>
      </c>
      <c r="O42" s="50">
        <v>4.7569999999999997</v>
      </c>
      <c r="P42" s="50">
        <v>4.6150000000000002</v>
      </c>
      <c r="Q42" s="1"/>
      <c r="R42" s="3"/>
      <c r="S42" s="2"/>
    </row>
    <row r="43" spans="1:19" x14ac:dyDescent="0.3">
      <c r="E43" s="13">
        <f t="shared" si="6"/>
        <v>15</v>
      </c>
      <c r="F43" s="44"/>
      <c r="G43" s="42">
        <v>0</v>
      </c>
      <c r="H43" s="42">
        <v>-1725.8680000000015</v>
      </c>
      <c r="J43" s="33"/>
      <c r="K43" s="13">
        <f>+IF('Data Sheet'!G15=0,0,'Data Sheet'!G15)</f>
        <v>40</v>
      </c>
      <c r="L43" s="13">
        <f>+IF('Data Sheet'!H15=0,0,'Data Sheet'!H15)</f>
        <v>6.7</v>
      </c>
      <c r="M43" s="13">
        <f>+IF('Data Sheet'!I15=0,0,'Data Sheet'!I15)</f>
        <v>5.9</v>
      </c>
      <c r="N43" s="13">
        <f>+IF('Data Sheet'!J15=0,0,'Data Sheet'!J15)</f>
        <v>0.71</v>
      </c>
      <c r="O43" s="50">
        <v>4.7569999999999997</v>
      </c>
      <c r="P43" s="50">
        <v>4.1890000000000001</v>
      </c>
      <c r="Q43" s="1"/>
      <c r="R43" s="3"/>
      <c r="S43" s="2"/>
    </row>
    <row r="44" spans="1:19" x14ac:dyDescent="0.3">
      <c r="J44" s="33"/>
      <c r="K44" s="13">
        <f>+IF('Data Sheet'!G16=0,0,'Data Sheet'!G16)</f>
        <v>41</v>
      </c>
      <c r="L44" s="13">
        <f>+IF('Data Sheet'!H16=0,0,'Data Sheet'!H16)</f>
        <v>6.7</v>
      </c>
      <c r="M44" s="13">
        <f>+IF('Data Sheet'!I16=0,0,'Data Sheet'!I16)</f>
        <v>5.7</v>
      </c>
      <c r="N44" s="13">
        <f>+IF('Data Sheet'!J16=0,0,'Data Sheet'!J16)</f>
        <v>0.71</v>
      </c>
      <c r="O44" s="50">
        <v>4.7569999999999997</v>
      </c>
      <c r="P44" s="50">
        <v>4.0469999999999997</v>
      </c>
      <c r="Q44" s="1"/>
      <c r="R44" s="3"/>
      <c r="S44" s="2"/>
    </row>
    <row r="45" spans="1:19" x14ac:dyDescent="0.3">
      <c r="J45" s="33"/>
      <c r="K45" s="13">
        <f>+IF('Data Sheet'!G17=0,0,'Data Sheet'!G17)</f>
        <v>42</v>
      </c>
      <c r="L45" s="13">
        <f>+IF('Data Sheet'!H17=0,0,'Data Sheet'!H17)</f>
        <v>6.9</v>
      </c>
      <c r="M45" s="13">
        <f>+IF('Data Sheet'!I17=0,0,'Data Sheet'!I17)</f>
        <v>5.7</v>
      </c>
      <c r="N45" s="13">
        <f>+IF('Data Sheet'!J17=0,0,'Data Sheet'!J17)</f>
        <v>0.71</v>
      </c>
      <c r="O45" s="50">
        <v>4.899</v>
      </c>
      <c r="P45" s="50">
        <v>4.0469999999999997</v>
      </c>
      <c r="Q45" s="1"/>
      <c r="R45" s="3"/>
      <c r="S45" s="2"/>
    </row>
    <row r="46" spans="1:19" x14ac:dyDescent="0.3">
      <c r="H46" t="s">
        <v>79</v>
      </c>
      <c r="J46" s="33"/>
      <c r="K46" s="13">
        <f>+IF('Data Sheet'!G18=0,0,'Data Sheet'!G18)</f>
        <v>43</v>
      </c>
      <c r="L46" s="13">
        <f>+IF('Data Sheet'!H18=0,0,'Data Sheet'!H18)</f>
        <v>7.3</v>
      </c>
      <c r="M46" s="13">
        <f>+IF('Data Sheet'!I18=0,0,'Data Sheet'!I18)</f>
        <v>5.7</v>
      </c>
      <c r="N46" s="13">
        <f>+IF('Data Sheet'!J18=0,0,'Data Sheet'!J18)</f>
        <v>0.71</v>
      </c>
      <c r="O46" s="50">
        <v>5.1829999999999998</v>
      </c>
      <c r="P46" s="50">
        <v>4.0469999999999997</v>
      </c>
      <c r="Q46" s="1"/>
      <c r="R46" s="3"/>
      <c r="S46" s="2"/>
    </row>
    <row r="47" spans="1:19" x14ac:dyDescent="0.3">
      <c r="A47" s="55" t="s">
        <v>24</v>
      </c>
      <c r="B47" s="54" t="s">
        <v>9</v>
      </c>
      <c r="C47" s="54" t="s">
        <v>10</v>
      </c>
      <c r="D47" s="59" t="s">
        <v>41</v>
      </c>
      <c r="E47" s="59" t="s">
        <v>47</v>
      </c>
      <c r="F47" s="60" t="s">
        <v>8</v>
      </c>
      <c r="G47" s="61"/>
      <c r="H47" s="62" t="s">
        <v>45</v>
      </c>
      <c r="I47" s="62" t="s">
        <v>46</v>
      </c>
      <c r="J47" s="66" t="s">
        <v>47</v>
      </c>
      <c r="K47" s="13">
        <f>+IF('Data Sheet'!G19=0,0,'Data Sheet'!G19)</f>
        <v>44</v>
      </c>
      <c r="L47" s="13">
        <f>+IF('Data Sheet'!H19=0,0,'Data Sheet'!H19)</f>
        <v>7.9</v>
      </c>
      <c r="M47" s="13">
        <f>+IF('Data Sheet'!I19=0,0,'Data Sheet'!I19)</f>
        <v>5.7</v>
      </c>
      <c r="N47" s="13">
        <f>+IF('Data Sheet'!J19=0,0,'Data Sheet'!J19)</f>
        <v>0.71</v>
      </c>
      <c r="O47" s="50">
        <v>5.609</v>
      </c>
      <c r="P47" s="50">
        <v>4.0469999999999997</v>
      </c>
      <c r="Q47" s="1"/>
      <c r="R47" s="3"/>
      <c r="S47" s="2"/>
    </row>
    <row r="48" spans="1:19" x14ac:dyDescent="0.3">
      <c r="A48" s="58">
        <f>E29</f>
        <v>1</v>
      </c>
      <c r="B48" s="57">
        <v>0</v>
      </c>
      <c r="C48" s="57">
        <v>7336.0972880000008</v>
      </c>
      <c r="D48" s="57">
        <v>1467.2194576000002</v>
      </c>
      <c r="E48" s="42">
        <v>0</v>
      </c>
      <c r="F48" s="42">
        <v>1467.2194576000002</v>
      </c>
      <c r="G48" s="75">
        <v>1</v>
      </c>
      <c r="H48" s="67">
        <v>0</v>
      </c>
      <c r="I48" s="68">
        <v>5868.8778304000007</v>
      </c>
      <c r="J48" s="73">
        <v>0</v>
      </c>
      <c r="K48" s="13">
        <f>+IF('Data Sheet'!G20=0,0,'Data Sheet'!G20)</f>
        <v>45</v>
      </c>
      <c r="L48" s="13">
        <f>+IF('Data Sheet'!H20=0,0,'Data Sheet'!H20)</f>
        <v>8.5</v>
      </c>
      <c r="M48" s="13">
        <f>+IF('Data Sheet'!I20=0,0,'Data Sheet'!I20)</f>
        <v>5.7</v>
      </c>
      <c r="N48" s="13">
        <f>+IF('Data Sheet'!J20=0,0,'Data Sheet'!J20)</f>
        <v>0.71</v>
      </c>
      <c r="O48" s="50">
        <v>6.0350000000000001</v>
      </c>
      <c r="P48" s="50">
        <v>4.0469999999999997</v>
      </c>
      <c r="Q48" s="1"/>
      <c r="R48" s="3"/>
      <c r="S48" s="2"/>
    </row>
    <row r="49" spans="1:19" x14ac:dyDescent="0.3">
      <c r="A49" s="58">
        <f t="shared" ref="A49:A61" si="7">E30</f>
        <v>2</v>
      </c>
      <c r="B49" s="57">
        <v>4345.092818414455</v>
      </c>
      <c r="C49" s="57">
        <v>6332.2951474654346</v>
      </c>
      <c r="D49" s="57">
        <v>463.41731706543396</v>
      </c>
      <c r="E49" s="42">
        <v>83.912127899519319</v>
      </c>
      <c r="F49" s="42">
        <v>4369.7353707510711</v>
      </c>
      <c r="G49" s="75">
        <f>G48+1</f>
        <v>2</v>
      </c>
      <c r="H49" s="67">
        <v>5644.3222269015687</v>
      </c>
      <c r="I49" s="67">
        <v>5868.8779963123598</v>
      </c>
      <c r="J49" s="73">
        <v>43.882572383462438</v>
      </c>
      <c r="K49" s="13">
        <f>+IF('Data Sheet'!G21=0,0,'Data Sheet'!G21)</f>
        <v>46</v>
      </c>
      <c r="L49" s="13">
        <f>+IF('Data Sheet'!H21=0,0,'Data Sheet'!H21)</f>
        <v>8.6999999999999993</v>
      </c>
      <c r="M49" s="13">
        <f>+IF('Data Sheet'!I21=0,0,'Data Sheet'!I21)</f>
        <v>5.7</v>
      </c>
      <c r="N49" s="13">
        <f>+IF('Data Sheet'!J21=0,0,'Data Sheet'!J21)</f>
        <v>0.71</v>
      </c>
      <c r="O49" s="50">
        <v>6.1769999999999996</v>
      </c>
      <c r="P49" s="50">
        <v>4.0469999999999997</v>
      </c>
      <c r="Q49" s="1"/>
      <c r="R49" s="3"/>
      <c r="S49" s="2"/>
    </row>
    <row r="50" spans="1:19" x14ac:dyDescent="0.3">
      <c r="A50" s="58">
        <f t="shared" si="7"/>
        <v>3</v>
      </c>
      <c r="B50" s="57">
        <v>5096.7056049633666</v>
      </c>
      <c r="C50" s="57">
        <v>6090.2196193548361</v>
      </c>
      <c r="D50" s="57">
        <v>221.34178895483547</v>
      </c>
      <c r="E50" s="42">
        <v>87.513176847325099</v>
      </c>
      <c r="F50" s="42">
        <v>5101.5096012065605</v>
      </c>
      <c r="G50" s="75">
        <f t="shared" ref="G50:G63" si="8">G49+1</f>
        <v>3</v>
      </c>
      <c r="H50" s="67">
        <v>5696.7974202088217</v>
      </c>
      <c r="I50" s="68">
        <v>5847.6679877112119</v>
      </c>
      <c r="J50" s="73">
        <v>44.251202775564892</v>
      </c>
      <c r="K50" s="13">
        <f>+IF('Data Sheet'!G22=0,0,'Data Sheet'!G22)</f>
        <v>47</v>
      </c>
      <c r="L50" s="13">
        <f>+IF('Data Sheet'!H22=0,0,'Data Sheet'!H22)</f>
        <v>8.6999999999999993</v>
      </c>
      <c r="M50" s="13">
        <f>+IF('Data Sheet'!I22=0,0,'Data Sheet'!I22)</f>
        <v>5.5</v>
      </c>
      <c r="N50" s="13">
        <f>+IF('Data Sheet'!J22=0,0,'Data Sheet'!J22)</f>
        <v>0.71</v>
      </c>
      <c r="O50" s="50">
        <v>6.1769999999999996</v>
      </c>
      <c r="P50" s="50">
        <v>3.9049999999999998</v>
      </c>
      <c r="Q50" s="1"/>
      <c r="R50" s="3"/>
      <c r="S50" s="2"/>
    </row>
    <row r="51" spans="1:19" x14ac:dyDescent="0.3">
      <c r="A51" s="58">
        <f t="shared" si="7"/>
        <v>4</v>
      </c>
      <c r="B51" s="57">
        <v>5696.7974202088217</v>
      </c>
      <c r="C51" s="57">
        <v>5847.6679877112119</v>
      </c>
      <c r="D51" s="57">
        <v>-21.20984268878874</v>
      </c>
      <c r="E51" s="42">
        <v>90.213442501561317</v>
      </c>
      <c r="F51" s="42">
        <v>5696.8369034337611</v>
      </c>
      <c r="G51" s="75">
        <f t="shared" si="8"/>
        <v>4</v>
      </c>
      <c r="H51" s="67">
        <v>6088.5202449363578</v>
      </c>
      <c r="I51" s="68">
        <v>5653.2579161290314</v>
      </c>
      <c r="J51" s="73">
        <v>47.122890796604999</v>
      </c>
      <c r="K51" s="13">
        <f>+IF('Data Sheet'!G23=0,0,'Data Sheet'!G23)</f>
        <v>48</v>
      </c>
      <c r="L51" s="13">
        <f>+IF('Data Sheet'!H23=0,0,'Data Sheet'!H23)</f>
        <v>8.6999999999999993</v>
      </c>
      <c r="M51" s="13">
        <f>+IF('Data Sheet'!I23=0,0,'Data Sheet'!I23)</f>
        <v>5.3</v>
      </c>
      <c r="N51" s="13">
        <f>+IF('Data Sheet'!J23=0,0,'Data Sheet'!J23)</f>
        <v>0.71</v>
      </c>
      <c r="O51" s="50">
        <v>6.1769999999999996</v>
      </c>
      <c r="P51" s="50">
        <v>3.7629999999999999</v>
      </c>
      <c r="Q51" s="1"/>
      <c r="R51" s="3"/>
      <c r="S51" s="2"/>
    </row>
    <row r="52" spans="1:19" x14ac:dyDescent="0.3">
      <c r="A52" s="58">
        <f t="shared" si="7"/>
        <v>5</v>
      </c>
      <c r="B52" s="57">
        <v>6088.5202449363578</v>
      </c>
      <c r="C52" s="57">
        <v>5653.2579161290314</v>
      </c>
      <c r="D52" s="57">
        <v>-215.61991427096928</v>
      </c>
      <c r="E52" s="42">
        <v>92.028357149525107</v>
      </c>
      <c r="F52" s="42">
        <v>6092.3370491487185</v>
      </c>
      <c r="G52" s="75">
        <f t="shared" si="8"/>
        <v>5</v>
      </c>
      <c r="H52" s="67">
        <v>7489.6147804284528</v>
      </c>
      <c r="I52" s="68">
        <v>4821.9073043625167</v>
      </c>
      <c r="J52" s="73">
        <v>57.225981292803894</v>
      </c>
      <c r="K52" s="13">
        <f>+IF('Data Sheet'!G24=0,0,'Data Sheet'!G24)</f>
        <v>49</v>
      </c>
      <c r="L52" s="13">
        <f>+IF('Data Sheet'!H24=0,0,'Data Sheet'!H24)</f>
        <v>6.7</v>
      </c>
      <c r="M52" s="13">
        <f>+IF('Data Sheet'!I24=0,0,'Data Sheet'!I24)</f>
        <v>5.5</v>
      </c>
      <c r="N52" s="13">
        <f>+IF('Data Sheet'!J24=0,0,'Data Sheet'!J24)</f>
        <v>0.71</v>
      </c>
      <c r="O52" s="50">
        <v>4.7569999999999997</v>
      </c>
      <c r="P52" s="50">
        <v>3.9049999999999998</v>
      </c>
      <c r="Q52" s="1"/>
      <c r="R52" s="3"/>
      <c r="S52" s="2"/>
    </row>
    <row r="53" spans="1:19" x14ac:dyDescent="0.3">
      <c r="A53" s="58">
        <f t="shared" si="7"/>
        <v>6</v>
      </c>
      <c r="B53" s="57">
        <v>7489.6147804284528</v>
      </c>
      <c r="C53" s="57">
        <v>4821.9073043625167</v>
      </c>
      <c r="D53" s="57">
        <v>-1046.970526037484</v>
      </c>
      <c r="E53" s="42">
        <v>97.957902651684066</v>
      </c>
      <c r="F53" s="42">
        <v>7562.4385512613289</v>
      </c>
      <c r="G53" s="75">
        <f t="shared" si="8"/>
        <v>6</v>
      </c>
      <c r="H53" s="67">
        <v>8729.559559678084</v>
      </c>
      <c r="I53" s="68">
        <v>5040.9186125960041</v>
      </c>
      <c r="J53" s="73">
        <v>59.995461767290962</v>
      </c>
      <c r="K53" s="13">
        <f>+IF('Data Sheet'!G25=0,0,'Data Sheet'!G25)</f>
        <v>50</v>
      </c>
      <c r="L53" s="13">
        <f>+IF('Data Sheet'!H25=0,0,'Data Sheet'!H25)</f>
        <v>6.7</v>
      </c>
      <c r="M53" s="13">
        <f>+IF('Data Sheet'!I25=0,0,'Data Sheet'!I25)</f>
        <v>5.0999999999999996</v>
      </c>
      <c r="N53" s="13">
        <f>+IF('Data Sheet'!J25=0,0,'Data Sheet'!J25)</f>
        <v>0.71</v>
      </c>
      <c r="O53" s="50">
        <v>4.7569999999999997</v>
      </c>
      <c r="P53" s="50">
        <v>3.6209999999999996</v>
      </c>
      <c r="Q53" s="1"/>
      <c r="R53" s="3"/>
      <c r="S53" s="2"/>
    </row>
    <row r="54" spans="1:19" x14ac:dyDescent="0.3">
      <c r="A54" s="58">
        <f t="shared" si="7"/>
        <v>7</v>
      </c>
      <c r="B54" s="57">
        <v>8729.559559678084</v>
      </c>
      <c r="C54" s="57">
        <v>5040.9186125960041</v>
      </c>
      <c r="D54" s="57">
        <v>-827.95921780399658</v>
      </c>
      <c r="E54" s="42">
        <v>95.418155276219153</v>
      </c>
      <c r="F54" s="42">
        <v>8768.7357453804962</v>
      </c>
      <c r="G54" s="75">
        <f t="shared" si="8"/>
        <v>7</v>
      </c>
      <c r="H54" s="67">
        <v>9542.818508139997</v>
      </c>
      <c r="I54" s="68">
        <v>4753.7168611721609</v>
      </c>
      <c r="J54" s="73">
        <v>63.519904814086779</v>
      </c>
      <c r="K54" s="13">
        <f>+IF('Data Sheet'!G26=0,0,'Data Sheet'!G26)</f>
        <v>51</v>
      </c>
      <c r="L54" s="13">
        <f>+IF('Data Sheet'!H26=0,0,'Data Sheet'!H26)</f>
        <v>6.7</v>
      </c>
      <c r="M54" s="13">
        <f>+IF('Data Sheet'!I26=0,0,'Data Sheet'!I26)</f>
        <v>4.5</v>
      </c>
      <c r="N54" s="13">
        <f>+IF('Data Sheet'!J26=0,0,'Data Sheet'!J26)</f>
        <v>0.71</v>
      </c>
      <c r="O54" s="50">
        <v>4.7569999999999997</v>
      </c>
      <c r="P54" s="50">
        <v>3.1949999999999998</v>
      </c>
      <c r="Q54" s="1"/>
      <c r="R54" s="3"/>
      <c r="S54" s="2"/>
    </row>
    <row r="55" spans="1:19" x14ac:dyDescent="0.3">
      <c r="A55" s="58">
        <f t="shared" si="7"/>
        <v>8</v>
      </c>
      <c r="B55" s="57">
        <v>9542.818508139997</v>
      </c>
      <c r="C55" s="57">
        <v>4753.7168611721609</v>
      </c>
      <c r="D55" s="57">
        <v>-1115.1609692278398</v>
      </c>
      <c r="E55" s="42">
        <v>96.665393061146631</v>
      </c>
      <c r="F55" s="42">
        <v>9607.7556727150622</v>
      </c>
      <c r="G55" s="75">
        <f t="shared" si="8"/>
        <v>8</v>
      </c>
      <c r="H55" s="67">
        <v>11280.823309284147</v>
      </c>
      <c r="I55" s="68">
        <v>4843.6487308755759</v>
      </c>
      <c r="J55" s="73">
        <v>66.762666145116881</v>
      </c>
      <c r="K55" s="13">
        <f>+IF('Data Sheet'!G27=0,0,'Data Sheet'!G27)</f>
        <v>52</v>
      </c>
      <c r="L55" s="13">
        <f>+IF('Data Sheet'!H27=0,0,'Data Sheet'!H27)</f>
        <v>6.7</v>
      </c>
      <c r="M55" s="13">
        <f>+IF('Data Sheet'!I27=0,0,'Data Sheet'!I27)</f>
        <v>3.9</v>
      </c>
      <c r="N55" s="13">
        <f>+IF('Data Sheet'!J27=0,0,'Data Sheet'!J27)</f>
        <v>0.71</v>
      </c>
      <c r="O55" s="50">
        <v>4.7569999999999997</v>
      </c>
      <c r="P55" s="50">
        <v>2.7689999999999997</v>
      </c>
      <c r="Q55" s="1"/>
      <c r="R55" s="3"/>
      <c r="S55" s="2"/>
    </row>
    <row r="56" spans="1:19" x14ac:dyDescent="0.3">
      <c r="A56" s="58">
        <f t="shared" si="7"/>
        <v>9</v>
      </c>
      <c r="B56" s="57">
        <v>11280.823309284147</v>
      </c>
      <c r="C56" s="57">
        <v>4843.6487308755759</v>
      </c>
      <c r="D56" s="57">
        <v>-1025.2290995244248</v>
      </c>
      <c r="E56" s="42">
        <v>95.193033901076973</v>
      </c>
      <c r="F56" s="42">
        <v>11327.315182416361</v>
      </c>
      <c r="G56" s="75">
        <f t="shared" si="8"/>
        <v>9</v>
      </c>
      <c r="H56" s="67">
        <v>10554.564232689221</v>
      </c>
      <c r="I56" s="68">
        <v>3093.2940718894024</v>
      </c>
      <c r="J56" s="73">
        <v>73.665280122191888</v>
      </c>
      <c r="K56" s="13">
        <f>+IF('Data Sheet'!G28=0,0,'Data Sheet'!G28)</f>
        <v>53</v>
      </c>
      <c r="L56" s="13">
        <f>+IF('Data Sheet'!H28=0,0,'Data Sheet'!H28)</f>
        <v>6.7</v>
      </c>
      <c r="M56" s="13">
        <f>+IF('Data Sheet'!I28=0,0,'Data Sheet'!I28)</f>
        <v>3.7</v>
      </c>
      <c r="N56" s="13">
        <f>+IF('Data Sheet'!J28=0,0,'Data Sheet'!J28)</f>
        <v>0.71</v>
      </c>
      <c r="O56" s="50">
        <v>4.7569999999999997</v>
      </c>
      <c r="P56" s="50">
        <v>2.6269999999999998</v>
      </c>
      <c r="Q56" s="1"/>
      <c r="R56" s="3"/>
      <c r="S56" s="2"/>
    </row>
    <row r="57" spans="1:19" x14ac:dyDescent="0.3">
      <c r="A57" s="58">
        <f t="shared" si="7"/>
        <v>10</v>
      </c>
      <c r="B57" s="57">
        <v>10554.564232689221</v>
      </c>
      <c r="C57" s="57">
        <v>3093.2940718894024</v>
      </c>
      <c r="D57" s="57">
        <v>-2775.5837585105983</v>
      </c>
      <c r="E57" s="42">
        <v>104.73385238137713</v>
      </c>
      <c r="F57" s="42">
        <v>10913.417949591705</v>
      </c>
      <c r="G57" s="75">
        <f t="shared" si="8"/>
        <v>10</v>
      </c>
      <c r="H57" s="67">
        <v>10361.724428112166</v>
      </c>
      <c r="I57" s="68">
        <v>2809.5522967741949</v>
      </c>
      <c r="J57" s="73">
        <v>74.829076521533651</v>
      </c>
      <c r="K57" s="13">
        <f>+IF('Data Sheet'!G29=0,0,'Data Sheet'!G29)</f>
        <v>54</v>
      </c>
      <c r="L57" s="13">
        <f>+IF('Data Sheet'!H29=0,0,'Data Sheet'!H29)</f>
        <v>6.5</v>
      </c>
      <c r="M57" s="13">
        <f>+IF('Data Sheet'!I29=0,0,'Data Sheet'!I29)</f>
        <v>3.7</v>
      </c>
      <c r="N57" s="13">
        <f>+IF('Data Sheet'!J29=0,0,'Data Sheet'!J29)</f>
        <v>0.71</v>
      </c>
      <c r="O57" s="50">
        <v>4.6150000000000002</v>
      </c>
      <c r="P57" s="50">
        <v>2.6269999999999998</v>
      </c>
      <c r="Q57" s="1"/>
      <c r="R57" s="3"/>
      <c r="S57" s="2"/>
    </row>
    <row r="58" spans="1:19" x14ac:dyDescent="0.3">
      <c r="A58" s="58">
        <f t="shared" si="7"/>
        <v>11</v>
      </c>
      <c r="B58" s="57">
        <v>10361.724428112166</v>
      </c>
      <c r="C58" s="57">
        <v>2809.5522967741949</v>
      </c>
      <c r="D58" s="57">
        <v>-3059.3255336258057</v>
      </c>
      <c r="E58" s="42">
        <v>106.44947185654982</v>
      </c>
      <c r="F58" s="42">
        <v>10803.925483120995</v>
      </c>
      <c r="G58" s="75">
        <f t="shared" si="8"/>
        <v>11</v>
      </c>
      <c r="H58" s="67">
        <v>8824.6922393626555</v>
      </c>
      <c r="I58" s="68">
        <v>1822.6785013824895</v>
      </c>
      <c r="J58" s="73">
        <v>78.329948399285698</v>
      </c>
      <c r="K58" s="13">
        <f>+IF('Data Sheet'!G30=0,0,'Data Sheet'!G30)</f>
        <v>55</v>
      </c>
      <c r="L58" s="13">
        <f>+IF('Data Sheet'!H30=0,0,'Data Sheet'!H30)</f>
        <v>5.9</v>
      </c>
      <c r="M58" s="13">
        <f>+IF('Data Sheet'!I30=0,0,'Data Sheet'!I30)</f>
        <v>3.7</v>
      </c>
      <c r="N58" s="13">
        <f>+IF('Data Sheet'!J30=0,0,'Data Sheet'!J30)</f>
        <v>0.71</v>
      </c>
      <c r="O58" s="50">
        <v>4.1890000000000001</v>
      </c>
      <c r="P58" s="50">
        <v>2.6269999999999998</v>
      </c>
      <c r="Q58" s="1"/>
      <c r="R58" s="3"/>
      <c r="S58" s="2"/>
    </row>
    <row r="59" spans="1:19" x14ac:dyDescent="0.3">
      <c r="A59" s="58">
        <f t="shared" si="7"/>
        <v>12</v>
      </c>
      <c r="B59" s="57">
        <v>8824.6922393626555</v>
      </c>
      <c r="C59" s="57">
        <v>1822.6785013824895</v>
      </c>
      <c r="D59" s="57">
        <v>-4046.1993290175114</v>
      </c>
      <c r="E59" s="42">
        <v>114.63196465200885</v>
      </c>
      <c r="F59" s="42">
        <v>9708.0853997896647</v>
      </c>
      <c r="G59" s="75">
        <f t="shared" si="8"/>
        <v>12</v>
      </c>
      <c r="H59" s="67">
        <v>7943.8833504022541</v>
      </c>
      <c r="I59" s="68">
        <v>1458.3682894009225</v>
      </c>
      <c r="J59" s="73">
        <v>79.597148333591633</v>
      </c>
      <c r="K59" s="13">
        <f>+IF('Data Sheet'!G31=0,0,'Data Sheet'!G31)</f>
        <v>56</v>
      </c>
      <c r="L59" s="13">
        <f>+IF('Data Sheet'!H31=0,0,'Data Sheet'!H31)</f>
        <v>5.3</v>
      </c>
      <c r="M59" s="13">
        <f>+IF('Data Sheet'!I31=0,0,'Data Sheet'!I31)</f>
        <v>3.7</v>
      </c>
      <c r="N59" s="13">
        <f>+IF('Data Sheet'!J31=0,0,'Data Sheet'!J31)</f>
        <v>0.71</v>
      </c>
      <c r="O59" s="50">
        <v>3.7629999999999999</v>
      </c>
      <c r="P59" s="50">
        <v>2.6269999999999998</v>
      </c>
      <c r="Q59" s="1"/>
      <c r="R59" s="3"/>
      <c r="S59" s="2"/>
    </row>
    <row r="60" spans="1:19" x14ac:dyDescent="0.3">
      <c r="A60" s="58">
        <f t="shared" si="7"/>
        <v>13</v>
      </c>
      <c r="B60" s="57">
        <v>7943.8833504022541</v>
      </c>
      <c r="C60" s="82">
        <v>1458.3682894009225</v>
      </c>
      <c r="D60" s="82">
        <v>-4410.5095409990781</v>
      </c>
      <c r="E60" s="42">
        <v>119.03948033015786</v>
      </c>
      <c r="F60" s="42">
        <v>9086.1365329848541</v>
      </c>
      <c r="G60" s="75">
        <f t="shared" si="8"/>
        <v>13</v>
      </c>
      <c r="H60" s="67">
        <v>7801.9308404905205</v>
      </c>
      <c r="I60" s="68">
        <v>1401.5493124423995</v>
      </c>
      <c r="J60" s="73">
        <v>79.815821533718903</v>
      </c>
      <c r="K60" s="13">
        <f>+IF('Data Sheet'!G32=0,0,'Data Sheet'!G32)</f>
        <v>57</v>
      </c>
      <c r="L60" s="13">
        <f>+IF('Data Sheet'!H32=0,0,'Data Sheet'!H32)</f>
        <v>4.7</v>
      </c>
      <c r="M60" s="13">
        <f>+IF('Data Sheet'!I32=0,0,'Data Sheet'!I32)</f>
        <v>3.7</v>
      </c>
      <c r="N60" s="13">
        <f>+IF('Data Sheet'!J32=0,0,'Data Sheet'!J32)</f>
        <v>0.71</v>
      </c>
      <c r="O60" s="50">
        <v>3.3369999999999997</v>
      </c>
      <c r="P60" s="50">
        <v>2.6269999999999998</v>
      </c>
      <c r="Q60" s="1"/>
      <c r="R60" s="3"/>
      <c r="S60" s="2"/>
    </row>
    <row r="61" spans="1:19" x14ac:dyDescent="0.3">
      <c r="A61" s="58">
        <f t="shared" si="7"/>
        <v>14</v>
      </c>
      <c r="B61" s="57">
        <v>7801.9308404905205</v>
      </c>
      <c r="C61" s="82">
        <v>1401.5493124423995</v>
      </c>
      <c r="D61" s="82">
        <v>-4467.3285179576014</v>
      </c>
      <c r="E61" s="42">
        <v>119.7952202063522</v>
      </c>
      <c r="F61" s="42">
        <v>8990.3920341192224</v>
      </c>
      <c r="G61" s="75">
        <f t="shared" si="8"/>
        <v>14</v>
      </c>
      <c r="H61" s="67">
        <v>0</v>
      </c>
      <c r="I61" s="68">
        <v>-1553.2812000000015</v>
      </c>
      <c r="J61" s="73">
        <v>180</v>
      </c>
      <c r="K61" s="13">
        <f>+IF('Data Sheet'!G33=0,0,'Data Sheet'!G33)</f>
        <v>58</v>
      </c>
      <c r="L61" s="13">
        <f>+IF('Data Sheet'!H33=0,0,'Data Sheet'!H33)</f>
        <v>4.0999999999999996</v>
      </c>
      <c r="M61" s="13">
        <f>+IF('Data Sheet'!I33=0,0,'Data Sheet'!I33)</f>
        <v>3.7</v>
      </c>
      <c r="N61" s="13">
        <f>+IF('Data Sheet'!J33=0,0,'Data Sheet'!J33)</f>
        <v>0.71</v>
      </c>
      <c r="O61" s="50">
        <v>2.9109999999999996</v>
      </c>
      <c r="P61" s="50">
        <v>2.6269999999999998</v>
      </c>
      <c r="Q61" s="1"/>
      <c r="R61" s="3"/>
      <c r="S61" s="2"/>
    </row>
    <row r="62" spans="1:19" x14ac:dyDescent="0.3">
      <c r="A62" s="58">
        <f>E43</f>
        <v>15</v>
      </c>
      <c r="B62" s="57">
        <v>0</v>
      </c>
      <c r="C62" s="82">
        <v>-1553.2812000000015</v>
      </c>
      <c r="D62" s="82">
        <v>-7422.1590304000019</v>
      </c>
      <c r="E62" s="42">
        <v>180</v>
      </c>
      <c r="F62" s="42">
        <v>7422.1590304000019</v>
      </c>
      <c r="G62" s="75">
        <f t="shared" si="8"/>
        <v>15</v>
      </c>
      <c r="H62" s="89"/>
      <c r="I62" s="90"/>
      <c r="J62" s="73"/>
      <c r="K62" s="13">
        <f>+IF('Data Sheet'!G34=0,0,'Data Sheet'!G34)</f>
        <v>59</v>
      </c>
      <c r="L62" s="13">
        <f>+IF('Data Sheet'!H34=0,0,'Data Sheet'!H34)</f>
        <v>3.5</v>
      </c>
      <c r="M62" s="13">
        <f>+IF('Data Sheet'!I34=0,0,'Data Sheet'!I34)</f>
        <v>3.7</v>
      </c>
      <c r="N62" s="13">
        <f>+IF('Data Sheet'!J34=0,0,'Data Sheet'!J34)</f>
        <v>0.71</v>
      </c>
      <c r="O62" s="50">
        <v>2.4849999999999999</v>
      </c>
      <c r="P62" s="50">
        <v>2.6269999999999998</v>
      </c>
      <c r="Q62" s="1"/>
      <c r="R62" s="3"/>
      <c r="S62" s="2"/>
    </row>
    <row r="63" spans="1:19" x14ac:dyDescent="0.3">
      <c r="A63" s="18"/>
      <c r="B63" s="7"/>
      <c r="C63" s="7"/>
      <c r="D63" s="43"/>
      <c r="E63" s="32" t="s">
        <v>48</v>
      </c>
      <c r="F63" s="11">
        <v>3</v>
      </c>
      <c r="G63" s="75">
        <f t="shared" si="8"/>
        <v>16</v>
      </c>
      <c r="H63" s="91"/>
      <c r="I63" s="89"/>
      <c r="J63" s="73"/>
      <c r="K63" s="13">
        <f>+IF('Data Sheet'!G35=0,0,'Data Sheet'!G35)</f>
        <v>0</v>
      </c>
      <c r="L63" s="13">
        <f>+IF('Data Sheet'!H35=0,0,'Data Sheet'!H35)</f>
        <v>0</v>
      </c>
      <c r="M63" s="13">
        <f>+IF('Data Sheet'!I35=0,0,'Data Sheet'!I35)</f>
        <v>0</v>
      </c>
      <c r="N63" s="13">
        <f>+IF('Data Sheet'!J35=0,0,'Data Sheet'!J35)</f>
        <v>0</v>
      </c>
      <c r="O63" s="50"/>
      <c r="P63" s="50"/>
      <c r="Q63" s="1"/>
      <c r="R63" s="3"/>
      <c r="S63" s="2"/>
    </row>
    <row r="64" spans="1:19" x14ac:dyDescent="0.3">
      <c r="A64" s="18"/>
      <c r="B64" s="62" t="s">
        <v>44</v>
      </c>
      <c r="C64" s="62" t="s">
        <v>23</v>
      </c>
      <c r="D64" s="7"/>
      <c r="E64" s="10" t="s">
        <v>49</v>
      </c>
      <c r="F64" s="11">
        <v>14</v>
      </c>
      <c r="G64" s="12"/>
      <c r="H64" s="12"/>
      <c r="J64" t="s">
        <v>51</v>
      </c>
      <c r="K64" s="86">
        <v>59</v>
      </c>
    </row>
    <row r="65" spans="1:23" x14ac:dyDescent="0.3">
      <c r="A65" s="18"/>
      <c r="B65" s="51">
        <v>5644.3222269015687</v>
      </c>
      <c r="C65" s="69">
        <v>5868.8779963123598</v>
      </c>
      <c r="D65" s="7"/>
      <c r="E65" s="7"/>
    </row>
    <row r="66" spans="1:23" x14ac:dyDescent="0.3">
      <c r="A66" s="7"/>
      <c r="B66" s="7"/>
      <c r="C66" s="7"/>
      <c r="D66" s="7"/>
      <c r="E66" s="7"/>
    </row>
    <row r="67" spans="1:23" x14ac:dyDescent="0.3">
      <c r="K67" s="159" t="s">
        <v>36</v>
      </c>
      <c r="L67" s="159"/>
    </row>
    <row r="68" spans="1:23" x14ac:dyDescent="0.3">
      <c r="K68" s="28" t="s">
        <v>20</v>
      </c>
      <c r="L68" s="28" t="s">
        <v>21</v>
      </c>
      <c r="N68" s="52" t="s">
        <v>22</v>
      </c>
      <c r="O68" s="52" t="s">
        <v>7</v>
      </c>
    </row>
    <row r="69" spans="1:23" x14ac:dyDescent="0.3">
      <c r="K69" s="88">
        <v>4.6898305084745724</v>
      </c>
      <c r="L69" s="88">
        <v>5.0593220338983018</v>
      </c>
      <c r="M69" s="76"/>
      <c r="N69" s="30">
        <v>1725.8680000000015</v>
      </c>
      <c r="O69" s="30">
        <v>11286.303520000001</v>
      </c>
    </row>
    <row r="70" spans="1:23" x14ac:dyDescent="0.3">
      <c r="A70" s="63"/>
      <c r="B70" s="64"/>
      <c r="C70" s="64"/>
      <c r="D70" s="64"/>
      <c r="E70" s="64"/>
      <c r="F70" s="64"/>
      <c r="G70" s="64"/>
      <c r="H70" s="64"/>
      <c r="I70" s="64"/>
      <c r="J70" s="64"/>
      <c r="K70" s="76"/>
      <c r="L70" s="76"/>
      <c r="M70" s="76"/>
    </row>
    <row r="71" spans="1:23" ht="15.6" x14ac:dyDescent="0.35">
      <c r="A71" s="97" t="s">
        <v>40</v>
      </c>
      <c r="B71" s="70" t="s">
        <v>39</v>
      </c>
      <c r="C71" s="70" t="s">
        <v>38</v>
      </c>
      <c r="D71" s="115" t="s">
        <v>9</v>
      </c>
      <c r="E71" s="115" t="s">
        <v>10</v>
      </c>
      <c r="F71" s="115" t="s">
        <v>11</v>
      </c>
      <c r="G71" s="115" t="s">
        <v>12</v>
      </c>
      <c r="H71" s="115" t="s">
        <v>47</v>
      </c>
      <c r="I71" s="71" t="s">
        <v>50</v>
      </c>
      <c r="K71" s="87" t="s">
        <v>52</v>
      </c>
      <c r="L71" s="87" t="s">
        <v>53</v>
      </c>
      <c r="M71" s="78"/>
    </row>
    <row r="72" spans="1:23" x14ac:dyDescent="0.3">
      <c r="A72" s="131">
        <v>1</v>
      </c>
      <c r="B72" s="134">
        <v>10000</v>
      </c>
      <c r="C72" s="134">
        <v>6000</v>
      </c>
      <c r="D72" s="72">
        <v>8264.677562096449</v>
      </c>
      <c r="E72" s="72">
        <v>4958.8065571493371</v>
      </c>
      <c r="F72" s="72">
        <v>1.209968558950455</v>
      </c>
      <c r="G72" s="72">
        <v>1.2099685540968577</v>
      </c>
      <c r="H72" s="72">
        <v>59.036161539489051</v>
      </c>
      <c r="I72" s="116">
        <v>5</v>
      </c>
      <c r="J72" s="6"/>
      <c r="K72" s="57">
        <v>8.6999999999999993</v>
      </c>
      <c r="L72" s="124">
        <v>7.7</v>
      </c>
      <c r="M72" s="79"/>
    </row>
    <row r="73" spans="1:23" x14ac:dyDescent="0.3">
      <c r="A73" s="131">
        <v>2</v>
      </c>
      <c r="B73" s="134">
        <f>150*9.81</f>
        <v>1471.5</v>
      </c>
      <c r="C73" s="134">
        <f>350*9.81</f>
        <v>3433.5</v>
      </c>
      <c r="D73" s="72">
        <v>2515.2333625576803</v>
      </c>
      <c r="E73" s="72">
        <v>5868.8779043341747</v>
      </c>
      <c r="F73" s="72">
        <v>0.58503517880490707</v>
      </c>
      <c r="G73" s="72">
        <v>0.58503517298670593</v>
      </c>
      <c r="H73" s="72">
        <v>23.19855831945425</v>
      </c>
      <c r="I73" s="119">
        <v>1</v>
      </c>
      <c r="J73" s="121"/>
      <c r="K73" s="85"/>
      <c r="L73" s="85"/>
      <c r="M73" s="120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3">
      <c r="A74" s="131">
        <v>3</v>
      </c>
      <c r="B74" s="134">
        <v>0</v>
      </c>
      <c r="C74" s="134">
        <f>56*9.81</f>
        <v>549.36</v>
      </c>
      <c r="D74" s="72">
        <v>0</v>
      </c>
      <c r="E74" s="72">
        <v>5868.8778304000007</v>
      </c>
      <c r="F74" s="72">
        <v>0</v>
      </c>
      <c r="G74" s="72">
        <v>9.3605628857085565E-2</v>
      </c>
      <c r="H74" s="72">
        <v>0</v>
      </c>
      <c r="I74" s="119">
        <v>1</v>
      </c>
      <c r="J74" s="121"/>
      <c r="K74" s="163" t="s">
        <v>59</v>
      </c>
      <c r="L74" s="164"/>
      <c r="M74" s="76"/>
      <c r="N74" s="163" t="s">
        <v>63</v>
      </c>
      <c r="O74" s="164"/>
      <c r="Q74" s="163" t="s">
        <v>64</v>
      </c>
      <c r="R74" s="164"/>
      <c r="T74" s="163"/>
      <c r="U74" s="164"/>
      <c r="V74" s="7"/>
      <c r="W74" s="7"/>
    </row>
    <row r="75" spans="1:23" x14ac:dyDescent="0.3">
      <c r="A75" s="131">
        <v>4</v>
      </c>
      <c r="B75" s="134">
        <v>340</v>
      </c>
      <c r="C75" s="134">
        <v>-600</v>
      </c>
      <c r="D75" s="72">
        <v>724.66258427610774</v>
      </c>
      <c r="E75" s="72">
        <v>-1278.8292522678191</v>
      </c>
      <c r="F75" s="72">
        <v>0.4691838758856835</v>
      </c>
      <c r="G75" s="72">
        <v>0.46917913312976428</v>
      </c>
      <c r="H75" s="72">
        <v>150.46125873333258</v>
      </c>
      <c r="I75" s="119">
        <v>13</v>
      </c>
      <c r="J75" s="121"/>
      <c r="K75" s="114" t="s">
        <v>60</v>
      </c>
      <c r="L75" s="114" t="s">
        <v>61</v>
      </c>
      <c r="M75" s="76"/>
      <c r="N75" s="114" t="s">
        <v>60</v>
      </c>
      <c r="O75" s="114" t="s">
        <v>61</v>
      </c>
      <c r="Q75" s="114" t="s">
        <v>60</v>
      </c>
      <c r="R75" s="114" t="s">
        <v>61</v>
      </c>
      <c r="T75" s="137"/>
      <c r="U75" s="137"/>
      <c r="V75" s="7"/>
      <c r="W75" s="7"/>
    </row>
    <row r="76" spans="1:23" x14ac:dyDescent="0.3">
      <c r="A76" s="131">
        <v>5</v>
      </c>
      <c r="B76" s="134">
        <v>2000</v>
      </c>
      <c r="C76" s="134">
        <v>2000</v>
      </c>
      <c r="D76" s="72">
        <v>5797.6268477681815</v>
      </c>
      <c r="E76" s="72">
        <v>5797.6268489467302</v>
      </c>
      <c r="F76" s="72">
        <v>0.34496873505577674</v>
      </c>
      <c r="G76" s="72">
        <v>0.34496873498565112</v>
      </c>
      <c r="H76" s="72">
        <v>44.999937550571175</v>
      </c>
      <c r="I76" s="119">
        <v>3</v>
      </c>
      <c r="J76" s="121"/>
      <c r="K76" s="99">
        <v>0</v>
      </c>
      <c r="L76" s="99">
        <v>0</v>
      </c>
      <c r="M76" s="125"/>
      <c r="N76" s="99">
        <v>0</v>
      </c>
      <c r="O76" s="99">
        <v>0</v>
      </c>
      <c r="P76" s="113"/>
      <c r="Q76" s="99">
        <v>0</v>
      </c>
      <c r="R76" s="99">
        <v>0</v>
      </c>
      <c r="S76" s="113"/>
      <c r="T76" s="99">
        <v>0</v>
      </c>
      <c r="U76" s="99">
        <v>0</v>
      </c>
      <c r="V76" s="7"/>
      <c r="W76" s="7"/>
    </row>
    <row r="77" spans="1:23" x14ac:dyDescent="0.3">
      <c r="A77" s="132">
        <v>6</v>
      </c>
      <c r="B77" s="135">
        <v>6000</v>
      </c>
      <c r="C77" s="135">
        <v>0</v>
      </c>
      <c r="D77" s="72">
        <v>4101.2584554823097</v>
      </c>
      <c r="E77" s="72">
        <v>-8.8278868427096313E-3</v>
      </c>
      <c r="F77" s="72">
        <v>1.4629655909589334</v>
      </c>
      <c r="G77" s="72">
        <v>0</v>
      </c>
      <c r="H77" s="72">
        <v>90</v>
      </c>
      <c r="I77" s="119">
        <v>13</v>
      </c>
      <c r="J77" s="121"/>
      <c r="K77" s="99">
        <v>10000</v>
      </c>
      <c r="L77" s="99">
        <v>6000</v>
      </c>
      <c r="M77" s="125"/>
      <c r="N77" s="99">
        <v>340</v>
      </c>
      <c r="O77" s="99">
        <v>-600</v>
      </c>
      <c r="P77" s="113"/>
      <c r="Q77" s="99">
        <v>2000</v>
      </c>
      <c r="R77" s="99">
        <v>-800</v>
      </c>
      <c r="S77" s="113"/>
      <c r="T77" s="99"/>
      <c r="U77" s="99"/>
      <c r="V77" s="7"/>
      <c r="W77" s="7"/>
    </row>
    <row r="78" spans="1:23" x14ac:dyDescent="0.3">
      <c r="A78" s="132">
        <v>7</v>
      </c>
      <c r="B78" s="135">
        <v>2000</v>
      </c>
      <c r="C78" s="135">
        <v>-800</v>
      </c>
      <c r="D78" s="72">
        <v>1994.6193432953251</v>
      </c>
      <c r="E78" s="72">
        <v>-797.85767513493124</v>
      </c>
      <c r="F78" s="77">
        <v>1.0026975857437468</v>
      </c>
      <c r="G78" s="77">
        <v>1.0026850965176295</v>
      </c>
      <c r="H78" s="72">
        <v>111.80150412997457</v>
      </c>
      <c r="I78" s="119">
        <v>13</v>
      </c>
      <c r="J78" s="123"/>
      <c r="K78" s="57">
        <v>8264.677562096449</v>
      </c>
      <c r="L78" s="57">
        <v>4958.8065571493371</v>
      </c>
      <c r="M78" s="125"/>
      <c r="N78" s="57">
        <v>724.66258427610774</v>
      </c>
      <c r="O78" s="57">
        <v>-1278.8292522678191</v>
      </c>
      <c r="P78" s="113"/>
      <c r="Q78" s="57">
        <v>1994.6193432953251</v>
      </c>
      <c r="R78" s="82">
        <v>-797.85767513493124</v>
      </c>
      <c r="S78" s="113"/>
      <c r="T78" s="57"/>
      <c r="U78" s="57"/>
      <c r="V78" s="7"/>
      <c r="W78" s="7"/>
    </row>
    <row r="79" spans="1:23" x14ac:dyDescent="0.3">
      <c r="A79" s="112"/>
      <c r="B79" s="128"/>
      <c r="C79" s="128"/>
      <c r="D79" s="72"/>
      <c r="E79" s="72"/>
      <c r="F79" s="77"/>
      <c r="G79" s="77"/>
      <c r="H79" s="72"/>
      <c r="I79" s="119"/>
      <c r="J79" s="81"/>
      <c r="K79" s="122"/>
      <c r="L79" s="126"/>
      <c r="M79" s="125"/>
      <c r="N79" s="122"/>
      <c r="O79" s="126"/>
      <c r="P79" s="113"/>
      <c r="Q79" s="122"/>
      <c r="R79" s="126"/>
      <c r="S79" s="113"/>
      <c r="T79" s="113"/>
      <c r="U79" s="113"/>
      <c r="V79" s="7"/>
      <c r="W79" s="7"/>
    </row>
    <row r="80" spans="1:23" x14ac:dyDescent="0.3">
      <c r="A80" s="112"/>
      <c r="B80" s="128"/>
      <c r="C80" s="128"/>
      <c r="D80" s="72"/>
      <c r="E80" s="72"/>
      <c r="F80" s="77"/>
      <c r="G80" s="77"/>
      <c r="H80" s="72"/>
      <c r="I80" s="119"/>
      <c r="J80" s="81"/>
      <c r="K80" s="163" t="s">
        <v>65</v>
      </c>
      <c r="L80" s="164"/>
      <c r="M80" s="125"/>
      <c r="N80" s="163" t="s">
        <v>66</v>
      </c>
      <c r="O80" s="164"/>
      <c r="P80" s="113"/>
      <c r="Q80" s="163" t="s">
        <v>67</v>
      </c>
      <c r="R80" s="164"/>
      <c r="S80" s="113"/>
      <c r="T80" s="113"/>
      <c r="U80" s="113"/>
      <c r="V80" s="7"/>
      <c r="W80" s="7"/>
    </row>
    <row r="81" spans="1:23" x14ac:dyDescent="0.3">
      <c r="A81" s="112"/>
      <c r="B81" s="128"/>
      <c r="C81" s="128"/>
      <c r="D81" s="72"/>
      <c r="E81" s="72"/>
      <c r="F81" s="77"/>
      <c r="G81" s="77"/>
      <c r="H81" s="72"/>
      <c r="I81" s="119"/>
      <c r="J81" s="81"/>
      <c r="K81" s="114" t="s">
        <v>60</v>
      </c>
      <c r="L81" s="114" t="s">
        <v>61</v>
      </c>
      <c r="M81" s="125"/>
      <c r="N81" s="114" t="s">
        <v>60</v>
      </c>
      <c r="O81" s="114" t="s">
        <v>61</v>
      </c>
      <c r="P81" s="113"/>
      <c r="Q81" s="114" t="s">
        <v>60</v>
      </c>
      <c r="R81" s="114" t="s">
        <v>61</v>
      </c>
      <c r="S81" s="113"/>
      <c r="T81" s="113"/>
      <c r="U81" s="113"/>
      <c r="V81" s="7"/>
      <c r="W81" s="7"/>
    </row>
    <row r="82" spans="1:23" x14ac:dyDescent="0.3">
      <c r="A82" s="11" t="s">
        <v>80</v>
      </c>
      <c r="B82" s="12">
        <v>7</v>
      </c>
      <c r="C82" s="11"/>
      <c r="D82" s="32"/>
      <c r="E82" s="32"/>
      <c r="F82" s="76"/>
      <c r="G82" s="76"/>
      <c r="H82" s="76"/>
      <c r="I82" s="76"/>
      <c r="J82" s="81"/>
      <c r="K82" s="99">
        <v>0</v>
      </c>
      <c r="L82" s="99">
        <v>0</v>
      </c>
      <c r="M82" s="127"/>
      <c r="N82" s="99">
        <v>0</v>
      </c>
      <c r="O82" s="99">
        <v>0</v>
      </c>
      <c r="P82" s="113"/>
      <c r="Q82" s="99">
        <v>0</v>
      </c>
      <c r="R82" s="99">
        <v>0</v>
      </c>
      <c r="S82" s="113"/>
      <c r="T82" s="113"/>
      <c r="U82" s="113"/>
      <c r="V82" s="7"/>
      <c r="W82" s="7"/>
    </row>
    <row r="83" spans="1:23" x14ac:dyDescent="0.3">
      <c r="A83" s="65"/>
      <c r="B83" s="43"/>
      <c r="C83" s="43"/>
      <c r="D83" s="32"/>
      <c r="E83" s="32"/>
      <c r="F83" s="80"/>
      <c r="G83" s="80"/>
      <c r="J83" s="81"/>
      <c r="K83" s="99">
        <v>1471.5</v>
      </c>
      <c r="L83" s="99">
        <v>3433.5</v>
      </c>
      <c r="M83" s="127"/>
      <c r="N83" s="99">
        <v>2000</v>
      </c>
      <c r="O83" s="99">
        <v>2000</v>
      </c>
      <c r="P83" s="113"/>
      <c r="Q83" s="99"/>
      <c r="R83" s="99"/>
      <c r="S83" s="113"/>
      <c r="T83" s="113"/>
      <c r="U83" s="113"/>
      <c r="V83" s="7"/>
      <c r="W83" s="7"/>
    </row>
    <row r="84" spans="1:23" x14ac:dyDescent="0.3">
      <c r="A84" s="65"/>
      <c r="B84" s="43"/>
      <c r="C84" s="43"/>
      <c r="D84" s="32"/>
      <c r="E84" s="32"/>
      <c r="F84" s="81"/>
      <c r="G84" s="81"/>
      <c r="H84" s="81"/>
      <c r="I84" s="83"/>
      <c r="J84" s="81"/>
      <c r="K84" s="57">
        <v>2515.2333625576803</v>
      </c>
      <c r="L84" s="57">
        <v>5868.8779043341747</v>
      </c>
      <c r="M84" s="127"/>
      <c r="N84" s="57">
        <v>5797.6268477681815</v>
      </c>
      <c r="O84" s="57">
        <v>5797.6268489467302</v>
      </c>
      <c r="P84" s="127"/>
      <c r="Q84" s="57"/>
      <c r="R84" s="57"/>
      <c r="S84" s="113"/>
      <c r="T84" s="113"/>
      <c r="U84" s="113"/>
      <c r="V84" s="64"/>
      <c r="W84" s="7"/>
    </row>
    <row r="85" spans="1:23" x14ac:dyDescent="0.3">
      <c r="A85" s="65"/>
      <c r="B85" s="43"/>
      <c r="C85" s="43"/>
      <c r="D85" s="32"/>
      <c r="E85" s="32"/>
      <c r="F85" s="84"/>
      <c r="G85" s="84"/>
      <c r="H85" s="81"/>
      <c r="I85" s="83"/>
      <c r="J85" s="81"/>
      <c r="K85" s="127"/>
      <c r="L85" s="127"/>
      <c r="M85" s="127"/>
      <c r="N85" s="127"/>
      <c r="O85" s="127"/>
      <c r="P85" s="2"/>
      <c r="Q85" s="127"/>
      <c r="R85" s="127"/>
      <c r="S85" s="113"/>
      <c r="T85" s="113"/>
      <c r="U85" s="113"/>
      <c r="V85" s="117"/>
      <c r="W85" s="7"/>
    </row>
    <row r="86" spans="1:23" x14ac:dyDescent="0.3">
      <c r="A86" s="65"/>
      <c r="B86" s="43"/>
      <c r="C86" s="43"/>
      <c r="D86" s="32"/>
      <c r="E86" s="32"/>
      <c r="F86" s="81"/>
      <c r="G86" s="81"/>
      <c r="H86" s="81"/>
      <c r="I86" s="83"/>
      <c r="J86" s="81"/>
      <c r="K86" s="163" t="s">
        <v>68</v>
      </c>
      <c r="L86" s="164"/>
      <c r="M86" s="127"/>
      <c r="N86" s="163" t="s">
        <v>69</v>
      </c>
      <c r="O86" s="164"/>
      <c r="P86" s="125"/>
      <c r="Q86" s="163" t="s">
        <v>70</v>
      </c>
      <c r="R86" s="164"/>
      <c r="S86" s="113"/>
      <c r="T86" s="113"/>
      <c r="U86" s="113"/>
      <c r="V86" s="117"/>
      <c r="W86" s="7"/>
    </row>
    <row r="87" spans="1:23" x14ac:dyDescent="0.3">
      <c r="A87" s="65"/>
      <c r="B87" s="43"/>
      <c r="C87" s="43"/>
      <c r="D87" s="32"/>
      <c r="E87" s="32"/>
      <c r="F87" s="81"/>
      <c r="G87" s="81"/>
      <c r="H87" s="81"/>
      <c r="I87" s="83"/>
      <c r="J87" s="81"/>
      <c r="K87" s="114" t="s">
        <v>60</v>
      </c>
      <c r="L87" s="114" t="s">
        <v>61</v>
      </c>
      <c r="M87" s="127"/>
      <c r="N87" s="114" t="s">
        <v>60</v>
      </c>
      <c r="O87" s="114" t="s">
        <v>61</v>
      </c>
      <c r="P87" s="113"/>
      <c r="Q87" s="114" t="s">
        <v>60</v>
      </c>
      <c r="R87" s="114" t="s">
        <v>61</v>
      </c>
      <c r="S87" s="113"/>
      <c r="T87" s="113"/>
      <c r="U87" s="113"/>
      <c r="V87" s="117"/>
      <c r="W87" s="7"/>
    </row>
    <row r="88" spans="1:23" x14ac:dyDescent="0.3">
      <c r="A88" s="12"/>
      <c r="B88" s="12"/>
      <c r="C88" s="12"/>
      <c r="D88" s="12"/>
      <c r="E88" s="7"/>
      <c r="F88" s="81"/>
      <c r="G88" s="81"/>
      <c r="H88" s="81"/>
      <c r="I88" s="83"/>
      <c r="J88" s="81"/>
      <c r="K88" s="99">
        <v>0</v>
      </c>
      <c r="L88" s="99">
        <v>0</v>
      </c>
      <c r="M88" s="127"/>
      <c r="N88" s="99">
        <v>0</v>
      </c>
      <c r="O88" s="99">
        <v>0</v>
      </c>
      <c r="P88" s="127"/>
      <c r="Q88" s="99">
        <v>0</v>
      </c>
      <c r="R88" s="99">
        <v>0</v>
      </c>
      <c r="S88" s="113"/>
      <c r="T88" s="113"/>
      <c r="U88" s="113"/>
      <c r="V88" s="117"/>
      <c r="W88" s="7"/>
    </row>
    <row r="89" spans="1:23" x14ac:dyDescent="0.3">
      <c r="A89" s="12"/>
      <c r="B89" s="12"/>
      <c r="C89" s="12"/>
      <c r="D89" s="12"/>
      <c r="E89" s="12"/>
      <c r="F89" s="80"/>
      <c r="G89" s="80"/>
      <c r="H89" s="80"/>
      <c r="I89" s="80"/>
      <c r="J89" s="81"/>
      <c r="K89" s="99">
        <v>0</v>
      </c>
      <c r="L89" s="99">
        <v>549.36</v>
      </c>
      <c r="M89" s="127"/>
      <c r="N89" s="99">
        <v>6000</v>
      </c>
      <c r="O89" s="99">
        <v>0</v>
      </c>
      <c r="P89" s="2"/>
      <c r="Q89" s="99"/>
      <c r="R89" s="99"/>
      <c r="S89" s="113"/>
      <c r="T89" s="113"/>
      <c r="U89" s="113"/>
      <c r="V89" s="117"/>
      <c r="W89" s="7"/>
    </row>
    <row r="90" spans="1:23" x14ac:dyDescent="0.3">
      <c r="F90" s="80"/>
      <c r="G90" s="80"/>
      <c r="H90" s="80"/>
      <c r="I90" s="80"/>
      <c r="J90" s="81"/>
      <c r="K90" s="57">
        <v>0</v>
      </c>
      <c r="L90" s="57">
        <v>5868.8778304000007</v>
      </c>
      <c r="M90" s="127"/>
      <c r="N90" s="57">
        <v>4101.2584554823097</v>
      </c>
      <c r="O90" s="57">
        <v>-8.8278868427096313E-3</v>
      </c>
      <c r="P90" s="125"/>
      <c r="Q90" s="57"/>
      <c r="R90" s="57"/>
      <c r="S90" s="113"/>
      <c r="T90" s="113"/>
      <c r="U90" s="113"/>
      <c r="V90" s="118"/>
      <c r="W90" s="7"/>
    </row>
    <row r="91" spans="1:23" x14ac:dyDescent="0.3">
      <c r="F91" s="80"/>
      <c r="G91" s="80"/>
      <c r="H91" s="80"/>
      <c r="I91" s="80"/>
      <c r="J91" s="81"/>
      <c r="K91" s="81"/>
      <c r="L91" s="81"/>
      <c r="M91" s="81"/>
      <c r="N91" s="81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3"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3">
      <c r="G93" s="74"/>
      <c r="H93" s="74"/>
    </row>
    <row r="94" spans="1:23" x14ac:dyDescent="0.3">
      <c r="G94" s="76"/>
      <c r="H94" s="76"/>
    </row>
    <row r="95" spans="1:23" x14ac:dyDescent="0.3">
      <c r="E95" s="76"/>
      <c r="F95" s="80"/>
    </row>
    <row r="96" spans="1:23" x14ac:dyDescent="0.3">
      <c r="I96" s="74"/>
    </row>
  </sheetData>
  <mergeCells count="17">
    <mergeCell ref="T74:U74"/>
    <mergeCell ref="N80:O80"/>
    <mergeCell ref="Q80:R80"/>
    <mergeCell ref="K86:L86"/>
    <mergeCell ref="N86:O86"/>
    <mergeCell ref="Q86:R86"/>
    <mergeCell ref="K74:L74"/>
    <mergeCell ref="K80:L80"/>
    <mergeCell ref="N74:O74"/>
    <mergeCell ref="Q74:R74"/>
    <mergeCell ref="D1:H1"/>
    <mergeCell ref="K67:L67"/>
    <mergeCell ref="E24:I24"/>
    <mergeCell ref="E25:I25"/>
    <mergeCell ref="E23:H23"/>
    <mergeCell ref="K1:S1"/>
    <mergeCell ref="E27:G27"/>
  </mergeCells>
  <pageMargins left="0.59055118110236227" right="0.59055118110236227" top="0.74803149606299213" bottom="0.74803149606299213" header="0.31496062992125984" footer="0.31496062992125984"/>
  <pageSetup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5125" r:id="rId4" name="CommandButton1">
          <controlPr defaultSize="0" autoLine="0" autoPict="0" r:id="rId5">
            <anchor moveWithCells="1">
              <from>
                <xdr:col>0</xdr:col>
                <xdr:colOff>121920</xdr:colOff>
                <xdr:row>92</xdr:row>
                <xdr:rowOff>22860</xdr:rowOff>
              </from>
              <to>
                <xdr:col>1</xdr:col>
                <xdr:colOff>533400</xdr:colOff>
                <xdr:row>93</xdr:row>
                <xdr:rowOff>137160</xdr:rowOff>
              </to>
            </anchor>
          </controlPr>
        </control>
      </mc:Choice>
      <mc:Fallback>
        <control shapeId="5125" r:id="rId4" name="CommandButton1"/>
      </mc:Fallback>
    </mc:AlternateContent>
    <mc:AlternateContent xmlns:mc="http://schemas.openxmlformats.org/markup-compatibility/2006">
      <mc:Choice Requires="x14">
        <control shapeId="5124" r:id="rId6" name="CommandButton4">
          <controlPr defaultSize="0" autoLine="0" r:id="rId7">
            <anchor moveWithCells="1">
              <from>
                <xdr:col>6</xdr:col>
                <xdr:colOff>685800</xdr:colOff>
                <xdr:row>92</xdr:row>
                <xdr:rowOff>22860</xdr:rowOff>
              </from>
              <to>
                <xdr:col>8</xdr:col>
                <xdr:colOff>358140</xdr:colOff>
                <xdr:row>93</xdr:row>
                <xdr:rowOff>137160</xdr:rowOff>
              </to>
            </anchor>
          </controlPr>
        </control>
      </mc:Choice>
      <mc:Fallback>
        <control shapeId="5124" r:id="rId6" name="CommandButton4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4</xdr:col>
                <xdr:colOff>502920</xdr:colOff>
                <xdr:row>92</xdr:row>
                <xdr:rowOff>22860</xdr:rowOff>
              </from>
              <to>
                <xdr:col>6</xdr:col>
                <xdr:colOff>251460</xdr:colOff>
                <xdr:row>93</xdr:row>
                <xdr:rowOff>137160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2" r:id="rId10" name="CommandButton2">
          <controlPr defaultSize="0" autoLine="0" r:id="rId11">
            <anchor moveWithCells="1">
              <from>
                <xdr:col>2</xdr:col>
                <xdr:colOff>312420</xdr:colOff>
                <xdr:row>92</xdr:row>
                <xdr:rowOff>22860</xdr:rowOff>
              </from>
              <to>
                <xdr:col>4</xdr:col>
                <xdr:colOff>76200</xdr:colOff>
                <xdr:row>93</xdr:row>
                <xdr:rowOff>137160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7030A0"/>
  </sheetPr>
  <dimension ref="B1:AA71"/>
  <sheetViews>
    <sheetView showGridLines="0" zoomScale="60" zoomScaleNormal="60" workbookViewId="0">
      <selection activeCell="I23" sqref="I23"/>
    </sheetView>
  </sheetViews>
  <sheetFormatPr baseColWidth="10" defaultRowHeight="14.4" x14ac:dyDescent="0.3"/>
  <cols>
    <col min="1" max="2" width="8.6640625" customWidth="1"/>
    <col min="3" max="6" width="9.77734375" customWidth="1"/>
    <col min="7" max="12" width="8.6640625" customWidth="1"/>
    <col min="13" max="13" width="9.44140625" customWidth="1"/>
  </cols>
  <sheetData>
    <row r="1" spans="2:8" ht="18" x14ac:dyDescent="0.35">
      <c r="C1" s="93" t="s">
        <v>58</v>
      </c>
    </row>
    <row r="2" spans="2:8" ht="18" x14ac:dyDescent="0.35">
      <c r="B2" s="93"/>
    </row>
    <row r="3" spans="2:8" x14ac:dyDescent="0.3">
      <c r="F3" s="165" t="s">
        <v>26</v>
      </c>
      <c r="G3" s="166"/>
      <c r="H3" s="96" t="s">
        <v>83</v>
      </c>
    </row>
    <row r="19" spans="2:7" x14ac:dyDescent="0.3">
      <c r="B19" s="92" t="s">
        <v>29</v>
      </c>
    </row>
    <row r="20" spans="2:7" x14ac:dyDescent="0.3">
      <c r="B20" s="94" t="s">
        <v>54</v>
      </c>
      <c r="C20" s="95">
        <v>19.2</v>
      </c>
      <c r="D20" s="12"/>
      <c r="F20" s="100" t="s">
        <v>62</v>
      </c>
      <c r="G20" s="13">
        <v>59</v>
      </c>
    </row>
    <row r="21" spans="2:7" x14ac:dyDescent="0.3">
      <c r="B21" s="94" t="s">
        <v>55</v>
      </c>
      <c r="C21" s="95">
        <v>412</v>
      </c>
      <c r="D21" s="12"/>
    </row>
    <row r="22" spans="2:7" x14ac:dyDescent="0.3">
      <c r="B22" s="12"/>
      <c r="C22" s="12"/>
      <c r="D22" s="12"/>
    </row>
    <row r="23" spans="2:7" x14ac:dyDescent="0.3">
      <c r="B23" s="167" t="s">
        <v>81</v>
      </c>
      <c r="C23" s="168"/>
      <c r="D23" s="168"/>
      <c r="E23" s="168"/>
    </row>
    <row r="24" spans="2:7" x14ac:dyDescent="0.3">
      <c r="B24" s="167" t="s">
        <v>82</v>
      </c>
      <c r="C24" s="168"/>
      <c r="D24" s="168"/>
    </row>
    <row r="44" spans="14:27" x14ac:dyDescent="0.3"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4:27" x14ac:dyDescent="0.3"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4:27" x14ac:dyDescent="0.3"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4:27" x14ac:dyDescent="0.3">
      <c r="N47" s="7"/>
      <c r="O47" s="33"/>
      <c r="P47" s="64"/>
      <c r="Q47" s="64"/>
      <c r="R47" s="64"/>
      <c r="S47" s="64"/>
      <c r="T47" s="64"/>
      <c r="U47" s="64"/>
      <c r="V47" s="7"/>
      <c r="W47" s="7"/>
      <c r="X47" s="7"/>
      <c r="Y47" s="7"/>
      <c r="Z47" s="7"/>
      <c r="AA47" s="7"/>
    </row>
    <row r="48" spans="14:27" x14ac:dyDescent="0.3">
      <c r="N48" s="7"/>
      <c r="O48" s="33"/>
      <c r="P48" s="64"/>
      <c r="Q48" s="64"/>
      <c r="R48" s="64"/>
      <c r="S48" s="64"/>
      <c r="T48" s="64"/>
      <c r="U48" s="64"/>
      <c r="V48" s="7"/>
      <c r="W48" s="7"/>
      <c r="X48" s="7"/>
      <c r="Y48" s="7"/>
      <c r="Z48" s="7"/>
      <c r="AA48" s="7"/>
    </row>
    <row r="49" spans="2:27" x14ac:dyDescent="0.3"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ht="15" x14ac:dyDescent="0.35">
      <c r="B50" s="98" t="s">
        <v>40</v>
      </c>
      <c r="C50" s="130" t="s">
        <v>84</v>
      </c>
      <c r="D50" s="130" t="s">
        <v>85</v>
      </c>
      <c r="E50" s="130" t="s">
        <v>86</v>
      </c>
      <c r="F50" s="130" t="s">
        <v>87</v>
      </c>
      <c r="G50" s="129" t="s">
        <v>11</v>
      </c>
      <c r="H50" s="129" t="s">
        <v>12</v>
      </c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3">
      <c r="B51" s="131">
        <v>1</v>
      </c>
      <c r="C51" s="134">
        <v>10000</v>
      </c>
      <c r="D51" s="134">
        <v>6000</v>
      </c>
      <c r="E51" s="72">
        <v>8264.677562096449</v>
      </c>
      <c r="F51" s="72">
        <v>4958.8065571493371</v>
      </c>
      <c r="G51" s="72">
        <v>1.209968558950455</v>
      </c>
      <c r="H51" s="72">
        <v>1.2099685540968577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3">
      <c r="B52" s="131">
        <v>2</v>
      </c>
      <c r="C52" s="134">
        <f>150*9.81</f>
        <v>1471.5</v>
      </c>
      <c r="D52" s="134">
        <f>350*9.81</f>
        <v>3433.5</v>
      </c>
      <c r="E52" s="72">
        <v>2515.2333625576803</v>
      </c>
      <c r="F52" s="72">
        <v>5868.8779043341747</v>
      </c>
      <c r="G52" s="72">
        <v>0.58503517880490707</v>
      </c>
      <c r="H52" s="72">
        <v>0.58503517298670593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3">
      <c r="B53" s="131">
        <v>3</v>
      </c>
      <c r="C53" s="134">
        <v>0</v>
      </c>
      <c r="D53" s="134">
        <f>56*9.81</f>
        <v>549.36</v>
      </c>
      <c r="E53" s="72">
        <v>0</v>
      </c>
      <c r="F53" s="72">
        <v>5868.8778304000007</v>
      </c>
      <c r="G53" s="72">
        <v>0</v>
      </c>
      <c r="H53" s="72">
        <v>9.3605628857085565E-2</v>
      </c>
    </row>
    <row r="54" spans="2:27" x14ac:dyDescent="0.3">
      <c r="B54" s="131">
        <v>4</v>
      </c>
      <c r="C54" s="134">
        <v>340</v>
      </c>
      <c r="D54" s="134">
        <v>-600</v>
      </c>
      <c r="E54" s="72">
        <v>724.66258427610774</v>
      </c>
      <c r="F54" s="72">
        <v>-1278.8292522678191</v>
      </c>
      <c r="G54" s="72">
        <v>0.4691838758856835</v>
      </c>
      <c r="H54" s="72">
        <v>0.46917913312976428</v>
      </c>
    </row>
    <row r="55" spans="2:27" x14ac:dyDescent="0.3">
      <c r="B55" s="131">
        <v>5</v>
      </c>
      <c r="C55" s="134">
        <v>2000</v>
      </c>
      <c r="D55" s="134">
        <v>2000</v>
      </c>
      <c r="E55" s="72">
        <v>5797.6268477681815</v>
      </c>
      <c r="F55" s="72">
        <v>5797.6268489467302</v>
      </c>
      <c r="G55" s="72">
        <v>0.34496873505577674</v>
      </c>
      <c r="H55" s="72">
        <v>0.34496873498565112</v>
      </c>
    </row>
    <row r="56" spans="2:27" x14ac:dyDescent="0.3">
      <c r="B56" s="132">
        <v>6</v>
      </c>
      <c r="C56" s="135">
        <v>6000</v>
      </c>
      <c r="D56" s="135">
        <v>0</v>
      </c>
      <c r="E56" s="72">
        <v>4101.2584554823097</v>
      </c>
      <c r="F56" s="72">
        <v>-8.8278868427096313E-3</v>
      </c>
      <c r="G56" s="72">
        <v>1.4629655909589334</v>
      </c>
      <c r="H56" s="72">
        <v>0</v>
      </c>
    </row>
    <row r="57" spans="2:27" x14ac:dyDescent="0.3">
      <c r="B57" s="132">
        <v>7</v>
      </c>
      <c r="C57" s="135">
        <v>2000</v>
      </c>
      <c r="D57" s="135">
        <v>-800</v>
      </c>
      <c r="E57" s="72">
        <v>1994.6193432953251</v>
      </c>
      <c r="F57" s="72">
        <v>-797.85767513493124</v>
      </c>
      <c r="G57" s="77">
        <v>1.0026975857437468</v>
      </c>
      <c r="H57" s="77">
        <v>1.0026850965176295</v>
      </c>
    </row>
    <row r="58" spans="2:27" x14ac:dyDescent="0.3">
      <c r="B58" s="112"/>
      <c r="C58" s="128"/>
      <c r="D58" s="128"/>
      <c r="E58" s="72"/>
      <c r="F58" s="72"/>
      <c r="G58" s="77"/>
      <c r="H58" s="77"/>
    </row>
    <row r="59" spans="2:27" x14ac:dyDescent="0.3">
      <c r="B59" s="112"/>
      <c r="C59" s="128"/>
      <c r="D59" s="128"/>
      <c r="E59" s="72"/>
      <c r="F59" s="72"/>
      <c r="G59" s="77"/>
      <c r="H59" s="77"/>
    </row>
    <row r="60" spans="2:27" x14ac:dyDescent="0.3">
      <c r="B60" s="112"/>
      <c r="C60" s="128"/>
      <c r="D60" s="128"/>
      <c r="E60" s="72"/>
      <c r="F60" s="72"/>
      <c r="G60" s="77"/>
      <c r="H60" s="77"/>
    </row>
    <row r="71" spans="7:7" x14ac:dyDescent="0.3">
      <c r="G71" s="74"/>
    </row>
  </sheetData>
  <mergeCells count="3">
    <mergeCell ref="F3:G3"/>
    <mergeCell ref="B24:D24"/>
    <mergeCell ref="B23:E23"/>
  </mergeCells>
  <pageMargins left="0.7" right="0.7" top="0.75" bottom="0.75" header="0.3" footer="0.3"/>
  <pageSetup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6150" r:id="rId4" name="CommandButton6">
          <controlPr defaultSize="0" autoLine="0" r:id="rId5">
            <anchor moveWithCells="1">
              <from>
                <xdr:col>3</xdr:col>
                <xdr:colOff>251460</xdr:colOff>
                <xdr:row>64</xdr:row>
                <xdr:rowOff>114300</xdr:rowOff>
              </from>
              <to>
                <xdr:col>4</xdr:col>
                <xdr:colOff>624840</xdr:colOff>
                <xdr:row>66</xdr:row>
                <xdr:rowOff>38100</xdr:rowOff>
              </to>
            </anchor>
          </controlPr>
        </control>
      </mc:Choice>
      <mc:Fallback>
        <control shapeId="6150" r:id="rId4" name="CommandButton6"/>
      </mc:Fallback>
    </mc:AlternateContent>
    <mc:AlternateContent xmlns:mc="http://schemas.openxmlformats.org/markup-compatibility/2006">
      <mc:Choice Requires="x14">
        <control shapeId="6149" r:id="rId6" name="CommandButton5">
          <controlPr defaultSize="0" autoLine="0" autoPict="0" r:id="rId7">
            <anchor moveWithCells="1">
              <from>
                <xdr:col>1</xdr:col>
                <xdr:colOff>22860</xdr:colOff>
                <xdr:row>61</xdr:row>
                <xdr:rowOff>76200</xdr:rowOff>
              </from>
              <to>
                <xdr:col>2</xdr:col>
                <xdr:colOff>472440</xdr:colOff>
                <xdr:row>63</xdr:row>
                <xdr:rowOff>0</xdr:rowOff>
              </to>
            </anchor>
          </controlPr>
        </control>
      </mc:Choice>
      <mc:Fallback>
        <control shapeId="6149" r:id="rId6" name="CommandButton5"/>
      </mc:Fallback>
    </mc:AlternateContent>
    <mc:AlternateContent xmlns:mc="http://schemas.openxmlformats.org/markup-compatibility/2006">
      <mc:Choice Requires="x14">
        <control shapeId="6148" r:id="rId8" name="CommandButton4">
          <controlPr defaultSize="0" autoLine="0" r:id="rId9">
            <anchor moveWithCells="1">
              <from>
                <xdr:col>1</xdr:col>
                <xdr:colOff>22860</xdr:colOff>
                <xdr:row>64</xdr:row>
                <xdr:rowOff>114300</xdr:rowOff>
              </from>
              <to>
                <xdr:col>2</xdr:col>
                <xdr:colOff>464820</xdr:colOff>
                <xdr:row>66</xdr:row>
                <xdr:rowOff>38100</xdr:rowOff>
              </to>
            </anchor>
          </controlPr>
        </control>
      </mc:Choice>
      <mc:Fallback>
        <control shapeId="6148" r:id="rId8" name="CommandButton4"/>
      </mc:Fallback>
    </mc:AlternateContent>
    <mc:AlternateContent xmlns:mc="http://schemas.openxmlformats.org/markup-compatibility/2006">
      <mc:Choice Requires="x14">
        <control shapeId="6147" r:id="rId10" name="CommandButton3">
          <controlPr defaultSize="0" autoLine="0" r:id="rId11">
            <anchor moveWithCells="1">
              <from>
                <xdr:col>5</xdr:col>
                <xdr:colOff>480060</xdr:colOff>
                <xdr:row>61</xdr:row>
                <xdr:rowOff>76200</xdr:rowOff>
              </from>
              <to>
                <xdr:col>7</xdr:col>
                <xdr:colOff>251460</xdr:colOff>
                <xdr:row>63</xdr:row>
                <xdr:rowOff>0</xdr:rowOff>
              </to>
            </anchor>
          </controlPr>
        </control>
      </mc:Choice>
      <mc:Fallback>
        <control shapeId="6147" r:id="rId10" name="CommandButton3"/>
      </mc:Fallback>
    </mc:AlternateContent>
    <mc:AlternateContent xmlns:mc="http://schemas.openxmlformats.org/markup-compatibility/2006">
      <mc:Choice Requires="x14">
        <control shapeId="6146" r:id="rId12" name="CommandButton2">
          <controlPr defaultSize="0" autoLine="0" r:id="rId13">
            <anchor moveWithCells="1">
              <from>
                <xdr:col>3</xdr:col>
                <xdr:colOff>251460</xdr:colOff>
                <xdr:row>61</xdr:row>
                <xdr:rowOff>76200</xdr:rowOff>
              </from>
              <to>
                <xdr:col>4</xdr:col>
                <xdr:colOff>624840</xdr:colOff>
                <xdr:row>63</xdr:row>
                <xdr:rowOff>0</xdr:rowOff>
              </to>
            </anchor>
          </controlPr>
        </control>
      </mc:Choice>
      <mc:Fallback>
        <control shapeId="6146" r:id="rId12" name="CommandButton2"/>
      </mc:Fallback>
    </mc:AlternateContent>
    <mc:AlternateContent xmlns:mc="http://schemas.openxmlformats.org/markup-compatibility/2006">
      <mc:Choice Requires="x14">
        <control shapeId="6145" r:id="rId14" name="CommandButton1">
          <controlPr defaultSize="0" autoLine="0" r:id="rId15">
            <anchor moveWithCells="1">
              <from>
                <xdr:col>8</xdr:col>
                <xdr:colOff>99060</xdr:colOff>
                <xdr:row>61</xdr:row>
                <xdr:rowOff>76200</xdr:rowOff>
              </from>
              <to>
                <xdr:col>9</xdr:col>
                <xdr:colOff>541020</xdr:colOff>
                <xdr:row>63</xdr:row>
                <xdr:rowOff>0</xdr:rowOff>
              </to>
            </anchor>
          </controlPr>
        </control>
      </mc:Choice>
      <mc:Fallback>
        <control shapeId="6145" r:id="rId1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 Menu</vt:lpstr>
      <vt:lpstr>Data Sheet</vt:lpstr>
      <vt:lpstr>Compute Sheet</vt:lpstr>
      <vt:lpstr>Print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2020-04-06T14:18:46Z</dcterms:modified>
</cp:coreProperties>
</file>